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mpresas" sheetId="2" state="visible" r:id="rId4"/>
    <sheet name="Proveedores" sheetId="3" state="visible" r:id="rId5"/>
    <sheet name="Registro" sheetId="4" state="visible" r:id="rId6"/>
    <sheet name="OC BMG" sheetId="5" state="visible" r:id="rId7"/>
    <sheet name="OS BMG" sheetId="6" state="visible" r:id="rId8"/>
    <sheet name="OC MZA" sheetId="7" state="visible" r:id="rId9"/>
    <sheet name="OS MZA" sheetId="8" state="visible" r:id="rId10"/>
  </sheets>
  <definedNames>
    <definedName function="false" hidden="false" localSheetId="4" name="_xlnm.Print_Area" vbProcedure="false">'OC BMG'!$A$1:$G$55</definedName>
    <definedName function="false" hidden="false" localSheetId="6" name="_xlnm.Print_Area" vbProcedure="false">'OC MZA'!$A$1:$G$55</definedName>
    <definedName function="false" hidden="false" localSheetId="5" name="_xlnm.Print_Area" vbProcedure="false">'OS BMG'!$A$1:$G$55</definedName>
    <definedName function="false" hidden="false" localSheetId="7" name="_xlnm.Print_Area" vbProcedure="false">'OS MZA'!$A$1:$G$55</definedName>
    <definedName function="false" hidden="true" localSheetId="3" name="_xlnm._FilterDatabase" vbProcedure="false">Registro!$A$5:$N$69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Completa razón social, RUC y datos de la tercera empresa del grupo. Su código (EMP3) se puede cambiar.</t>
        </r>
      </text>
    </comment>
    <comment ref="H1" authorId="0">
      <text>
        <r>
          <rPr>
            <sz val="10"/>
            <rFont val="Arial"/>
            <family val="2"/>
          </rPr>
          <t xml:space="preserve">Calculado desde la hoja Registro: el mayor correlativo de esa empresa y tipo, más 1.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Elige el proveedor de la lista de la hoja Proveedores. Su RUC, dirección, contacto y cuenta se completan solos.</t>
        </r>
      </text>
    </comment>
    <comment ref="F41" authorId="0">
      <text>
        <r>
          <rPr>
            <sz val="10"/>
            <rFont val="Arial"/>
            <family val="2"/>
          </rPr>
          <t xml:space="preserve">Porcentaje de detracción (SPOT) que indique Contabilidad, por ejemplo 12 %. Vacío si no aplica.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Elige el proveedor de la lista de la hoja Proveedores. Su RUC, dirección, contacto y cuenta se completan solos.</t>
        </r>
      </text>
    </comment>
    <comment ref="F41" authorId="0">
      <text>
        <r>
          <rPr>
            <sz val="10"/>
            <rFont val="Arial"/>
            <family val="2"/>
          </rPr>
          <t xml:space="preserve">Porcentaje de detracción (SPOT) que indique Contabilidad, por ejemplo 12 %. Vacío si no aplica.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Elige el proveedor de la lista de la hoja Proveedores. Su RUC, dirección, contacto y cuenta se completan solos.</t>
        </r>
      </text>
    </comment>
    <comment ref="F41" authorId="0">
      <text>
        <r>
          <rPr>
            <sz val="10"/>
            <rFont val="Arial"/>
            <family val="2"/>
          </rPr>
          <t xml:space="preserve">Porcentaje de detracción (SPOT) que indique Contabilidad, por ejemplo 12 %. Vacío si no aplica.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Elige el proveedor de la lista de la hoja Proveedores. Su RUC, dirección, contacto y cuenta se completan solos.</t>
        </r>
      </text>
    </comment>
    <comment ref="F41" authorId="0">
      <text>
        <r>
          <rPr>
            <sz val="10"/>
            <rFont val="Arial"/>
            <family val="2"/>
          </rPr>
          <t xml:space="preserve">Porcentaje de detracción (SPOT) que indique Contabilidad, por ejemplo 12 %. Vacío si no aplica.</t>
        </r>
      </text>
    </comment>
  </commentList>
</comments>
</file>

<file path=xl/sharedStrings.xml><?xml version="1.0" encoding="utf-8"?>
<sst xmlns="http://schemas.openxmlformats.org/spreadsheetml/2006/main" count="907" uniqueCount="399">
  <si>
    <t xml:space="preserve">Plantilla estandarizada de órdenes de compra (OC) y de servicio (OS) · ÖRÖK</t>
  </si>
  <si>
    <t xml:space="preserve">Versión 1 · 28/10/2026. Sirve hasta que el módulo de Logística del ERP genere las órdenes; tiene los mismos campos que el PDF del ERP.</t>
  </si>
  <si>
    <t xml:space="preserve">Cómo emitir una orden</t>
  </si>
  <si>
    <t xml:space="preserve">1. Haz una copia de la hoja de la empresa y el tipo que corresponda (por ejemplo «OC BMG») y nómbrala con el número de la orden.</t>
  </si>
  <si>
    <t xml:space="preserve">2. Completa solo las celdas amarillas. Las demás se llenan solas desde «Empresas» y «Proveedores».</t>
  </si>
  <si>
    <t xml:space="preserve">3. El número se arma con la empresa, el año de la fecha y el correlativo: OC-BMG-2026-0041. Usa el correlativo que indica «Empresas» en la columna Siguiente.</t>
  </si>
  <si>
    <t xml:space="preserve">4. Elige el proveedor de la lista. Si es nuevo, regístralo primero en «Proveedores» con su RUC y su cuenta de abono.</t>
  </si>
  <si>
    <t xml:space="preserve">5. Imprime en A4 (ya está configurado) o exporta a PDF. Las firmas van en los cuatro recuadros del pie: a mano, o con firma digital sobre el PDF.</t>
  </si>
  <si>
    <t xml:space="preserve">6. Anota la orden en «Registro» para que el correlativo y los totales queden al día.</t>
  </si>
  <si>
    <t xml:space="preserve">Reglas de cálculo</t>
  </si>
  <si>
    <t xml:space="preserve">IGV 18 %: solo cuando el comprobante es factura electrónica. Recibo por honorarios, boleta y pagos sin comprobante (tasas, tributos) no suman IGV.</t>
  </si>
  <si>
    <t xml:space="preserve">Retención de 4.ª categoría 8 %: en recibos por honorarios mayores a S/ 1,500. Confirma el tope vigente con Contabilidad.</t>
  </si>
  <si>
    <t xml:space="preserve">Detracción (SPOT): escribe el porcentaje que indique Contabilidad según el tipo de bien o servicio. Se calcula sobre el total y se redondea a soles enteros.</t>
  </si>
  <si>
    <t xml:space="preserve">Los parciales y totales se redondean a 2 decimales. No sumes IGV a compras que ya vienen con comprobante con IGV incluido: registra el precio sin IGV.</t>
  </si>
  <si>
    <t xml:space="preserve">Firmas</t>
  </si>
  <si>
    <t xml:space="preserve">Elaboró (Logística) · Revisó (Gerencia de proyecto, si aplica) · Aprobó (Gerencia General) · Aceptó (proveedor). En el ERP serán firmas electrónicas con código de verificación.</t>
  </si>
  <si>
    <t xml:space="preserve">Leyenda: las celdas amarillas son las únicas que se editan. Las hojas de ejemplo traen datos reales de órdenes anteriores para mostrar el formato esperado.</t>
  </si>
  <si>
    <t xml:space="preserve">Código</t>
  </si>
  <si>
    <t xml:space="preserve">Razón social</t>
  </si>
  <si>
    <t xml:space="preserve">RUC</t>
  </si>
  <si>
    <t xml:space="preserve">Dirección fiscal</t>
  </si>
  <si>
    <t xml:space="preserve">Teléfono</t>
  </si>
  <si>
    <t xml:space="preserve">Correo de compras</t>
  </si>
  <si>
    <t xml:space="preserve">Web</t>
  </si>
  <si>
    <t xml:space="preserve">Siguiente OC</t>
  </si>
  <si>
    <t xml:space="preserve">Siguiente OS</t>
  </si>
  <si>
    <t xml:space="preserve">BMG</t>
  </si>
  <si>
    <t xml:space="preserve">BMG DESARROLLADORA INMOBILIARIA S.A.C.</t>
  </si>
  <si>
    <t xml:space="preserve">20615227685</t>
  </si>
  <si>
    <t xml:space="preserve">Calle Puquina 138, Maranga, San Miguel, Lima</t>
  </si>
  <si>
    <t xml:space="preserve">Cel. 987 208 622</t>
  </si>
  <si>
    <t xml:space="preserve">compras@orok.com.pe</t>
  </si>
  <si>
    <t xml:space="preserve">www.orok.com.pe</t>
  </si>
  <si>
    <t xml:space="preserve">MZA</t>
  </si>
  <si>
    <t xml:space="preserve">MONTEZUMA ARQUITECTOS GERENCIA Y CONSTRUCCIÓN E.I.R.L.</t>
  </si>
  <si>
    <t xml:space="preserve">20602354785</t>
  </si>
  <si>
    <t xml:space="preserve">Cel. 940 207 936</t>
  </si>
  <si>
    <t xml:space="preserve">info@montezumaarquitectos.com</t>
  </si>
  <si>
    <t xml:space="preserve">www.montezumaarquitectos.com</t>
  </si>
  <si>
    <t xml:space="preserve">EMP3</t>
  </si>
  <si>
    <t xml:space="preserve">Tercera empresa (por definir)</t>
  </si>
  <si>
    <t xml:space="preserve">Catálogo de proveedores · completar RUC y cuenta de abono antes de emitir</t>
  </si>
  <si>
    <t xml:space="preserve">Nombres tomados de las órdenes anteriores (OCOS_OROK_.xlsx). Las celdas amarillas están por completar.</t>
  </si>
  <si>
    <t xml:space="preserve">Proveedor</t>
  </si>
  <si>
    <t xml:space="preserve">RUC / DNI</t>
  </si>
  <si>
    <t xml:space="preserve">Comprobante habitual</t>
  </si>
  <si>
    <t xml:space="preserve">Dirección</t>
  </si>
  <si>
    <t xml:space="preserve">Contacto</t>
  </si>
  <si>
    <t xml:space="preserve">Correo</t>
  </si>
  <si>
    <t xml:space="preserve">Banco</t>
  </si>
  <si>
    <t xml:space="preserve">Moneda</t>
  </si>
  <si>
    <t xml:space="preserve">N.º de cuenta</t>
  </si>
  <si>
    <t xml:space="preserve">CCI</t>
  </si>
  <si>
    <t xml:space="preserve">ARES</t>
  </si>
  <si>
    <t xml:space="preserve">ARTESA</t>
  </si>
  <si>
    <t xml:space="preserve">BLUEDRAGON CORPORATION SAC</t>
  </si>
  <si>
    <t xml:space="preserve">CCD EDUCA EIRL</t>
  </si>
  <si>
    <t xml:space="preserve">CREALAB</t>
  </si>
  <si>
    <t xml:space="preserve">DEVERCOMP</t>
  </si>
  <si>
    <t xml:space="preserve">921 295 210</t>
  </si>
  <si>
    <t xml:space="preserve">DIEGO ESPINOZA</t>
  </si>
  <si>
    <t xml:space="preserve">FERNANDO CASTILLO</t>
  </si>
  <si>
    <t xml:space="preserve">GRAPHCOLOR</t>
  </si>
  <si>
    <t xml:space="preserve">GUILLERMO BUSTAMANTE</t>
  </si>
  <si>
    <t xml:space="preserve">IKASA</t>
  </si>
  <si>
    <t xml:space="preserve">IMPORT HNOS SAN LUIS SAC</t>
  </si>
  <si>
    <t xml:space="preserve">977 208 514</t>
  </si>
  <si>
    <t xml:space="preserve">JORGE ORESTES CUSTODIO GUTIERREZ</t>
  </si>
  <si>
    <t xml:space="preserve">KUBIKO</t>
  </si>
  <si>
    <t xml:space="preserve">LAYSECA ASOCIADOS SAC</t>
  </si>
  <si>
    <t xml:space="preserve">20523123611</t>
  </si>
  <si>
    <t xml:space="preserve">Soles</t>
  </si>
  <si>
    <t xml:space="preserve">053-001-001251053001-42</t>
  </si>
  <si>
    <t xml:space="preserve">MARTINEZ RAMOS IRINA MERCEDEZ</t>
  </si>
  <si>
    <t xml:space="preserve">MAYO MATERIALES E INSTALACIONES</t>
  </si>
  <si>
    <t xml:space="preserve">META PLATFORMS (PUBLICIDAD)</t>
  </si>
  <si>
    <t xml:space="preserve">Factura del exterior</t>
  </si>
  <si>
    <t xml:space="preserve">MIFIBRA</t>
  </si>
  <si>
    <t xml:space="preserve">MINERA LUREN</t>
  </si>
  <si>
    <t xml:space="preserve">Mónica Demitriades</t>
  </si>
  <si>
    <t xml:space="preserve">BCP</t>
  </si>
  <si>
    <t xml:space="preserve">193-1544231-0-92</t>
  </si>
  <si>
    <t xml:space="preserve">002-193-001544231092-14</t>
  </si>
  <si>
    <t xml:space="preserve">MUNICIPALIDAD DE SAN MIGUEL</t>
  </si>
  <si>
    <t xml:space="preserve">Sin comprobante (tasas, tributos)</t>
  </si>
  <si>
    <t xml:space="preserve">NEOPATISH</t>
  </si>
  <si>
    <t xml:space="preserve">PORTCARRERO ALARCON ISAAC</t>
  </si>
  <si>
    <t xml:space="preserve">REVEP PAREDES Y TEXTURAS</t>
  </si>
  <si>
    <t xml:space="preserve">SAMAY DIST INDUSTRIAL EIRL</t>
  </si>
  <si>
    <t xml:space="preserve">SLINKY</t>
  </si>
  <si>
    <t xml:space="preserve">SMART LOCKS PERU</t>
  </si>
  <si>
    <t xml:space="preserve">SMS CONSULTING AND TRAINING SAC</t>
  </si>
  <si>
    <t xml:space="preserve">SODIMAC</t>
  </si>
  <si>
    <t xml:space="preserve">TUNOPAL S.A.</t>
  </si>
  <si>
    <t xml:space="preserve">Av. Camino Real 1125, Urb. Fundo Conde de San Isidro, Lima</t>
  </si>
  <si>
    <t xml:space="preserve">999 988 850</t>
  </si>
  <si>
    <t xml:space="preserve">1932525695069</t>
  </si>
  <si>
    <t xml:space="preserve">VALOREM Y CONSULTORES</t>
  </si>
  <si>
    <t xml:space="preserve">Registro de órdenes de compra y de servicio</t>
  </si>
  <si>
    <t xml:space="preserve">Importado de OCOS_OROK_.xlsx (64 hojas de orden) el 28/10/2026. Montos tal como figuran en cada hoja; la columna Revisar marca lo que no cuadra.</t>
  </si>
  <si>
    <t xml:space="preserve">Empresa</t>
  </si>
  <si>
    <t xml:space="preserve">Tipo</t>
  </si>
  <si>
    <t xml:space="preserve">Correlativo</t>
  </si>
  <si>
    <t xml:space="preserve">N.º estándar</t>
  </si>
  <si>
    <t xml:space="preserve">N.º original</t>
  </si>
  <si>
    <t xml:space="preserve">Hoja</t>
  </si>
  <si>
    <t xml:space="preserve">Fecha</t>
  </si>
  <si>
    <t xml:space="preserve">Proyecto</t>
  </si>
  <si>
    <t xml:space="preserve">Subtotal</t>
  </si>
  <si>
    <t xml:space="preserve">IGV</t>
  </si>
  <si>
    <t xml:space="preserve">Total</t>
  </si>
  <si>
    <t xml:space="preserve">Recalculado (cant × p.u.)</t>
  </si>
  <si>
    <t xml:space="preserve">Revisar</t>
  </si>
  <si>
    <t xml:space="preserve">Resumen</t>
  </si>
  <si>
    <t xml:space="preserve">OC</t>
  </si>
  <si>
    <t xml:space="preserve">OC-BMG-2026-0020</t>
  </si>
  <si>
    <t xml:space="preserve">0020-PROYINFINITY224-SHOWROOM</t>
  </si>
  <si>
    <t xml:space="preserve">0020 OC ARES</t>
  </si>
  <si>
    <t xml:space="preserve">INFINITY224</t>
  </si>
  <si>
    <t xml:space="preserve">Órdenes</t>
  </si>
  <si>
    <t xml:space="preserve">Por revisar</t>
  </si>
  <si>
    <t xml:space="preserve">OC-BMG-2026-0021</t>
  </si>
  <si>
    <t xml:space="preserve">0021-PROYINFINITY224-SHOWROOM</t>
  </si>
  <si>
    <t xml:space="preserve">0021 OC Revep</t>
  </si>
  <si>
    <t xml:space="preserve">REVEP paredes y texturas</t>
  </si>
  <si>
    <t xml:space="preserve">OC-BMG-2026-0022</t>
  </si>
  <si>
    <t xml:space="preserve">0022-PROYINFINITY224-SHOWROOM</t>
  </si>
  <si>
    <t xml:space="preserve">0022 OC Samay</t>
  </si>
  <si>
    <t xml:space="preserve">OS</t>
  </si>
  <si>
    <t xml:space="preserve">OC-BMG-2026-0023</t>
  </si>
  <si>
    <t xml:space="preserve">0023-PROYINFINITY224-SHOWROOM</t>
  </si>
  <si>
    <t xml:space="preserve">0023 OC Mayo</t>
  </si>
  <si>
    <t xml:space="preserve">Mayo Materiales e Instalaciones</t>
  </si>
  <si>
    <t xml:space="preserve">OC-BMG-2026-0024</t>
  </si>
  <si>
    <t xml:space="preserve">0024-PROYINFINITY224-SHOWROOM</t>
  </si>
  <si>
    <t xml:space="preserve">0024 OC Mayo</t>
  </si>
  <si>
    <t xml:space="preserve">Subtotal 643.22 no coincide con cant × p.u. 527.90</t>
  </si>
  <si>
    <t xml:space="preserve">OC-BMG-2026-0025</t>
  </si>
  <si>
    <t xml:space="preserve">0025-PROYINFINITY224-SHOWROOM</t>
  </si>
  <si>
    <t xml:space="preserve">0025 OC SmartLocks</t>
  </si>
  <si>
    <t xml:space="preserve">Smart Locks Peru</t>
  </si>
  <si>
    <t xml:space="preserve">OC-BMG-2026-0026</t>
  </si>
  <si>
    <t xml:space="preserve">0026-PROYINFINITY224-SHOWROOM</t>
  </si>
  <si>
    <t xml:space="preserve">0026 OC Ikasa</t>
  </si>
  <si>
    <t xml:space="preserve">OC-BMG-2026-0027</t>
  </si>
  <si>
    <t xml:space="preserve">0027-PROYINFINITY224-SHOWROOM</t>
  </si>
  <si>
    <t xml:space="preserve">0027 OC WallPanel</t>
  </si>
  <si>
    <t xml:space="preserve">Kubiko</t>
  </si>
  <si>
    <t xml:space="preserve">Montos sin distinguir moneda: las hojas originales no indican si están en soles o dólares.</t>
  </si>
  <si>
    <t xml:space="preserve">OC-BMG-2026-0028</t>
  </si>
  <si>
    <t xml:space="preserve">0028-PROYINFINITY224-SHOWROOM</t>
  </si>
  <si>
    <t xml:space="preserve">0028 OC Varias Compras</t>
  </si>
  <si>
    <t xml:space="preserve">—</t>
  </si>
  <si>
    <t xml:space="preserve">OC-BMG-2026-0029</t>
  </si>
  <si>
    <t xml:space="preserve">0029-PROYINFINITY224-SHOWROOM</t>
  </si>
  <si>
    <t xml:space="preserve">0029OC Impor Export Grupo</t>
  </si>
  <si>
    <t xml:space="preserve">Número repetido</t>
  </si>
  <si>
    <t xml:space="preserve">0033OC Banner exterior</t>
  </si>
  <si>
    <t xml:space="preserve">Guillermo Bustamante</t>
  </si>
  <si>
    <t xml:space="preserve">Número repetido · La hoja dice 0033 y la orden 0029 · Proveedor persona: revisar si es recibo por honorarios (sin IGV)</t>
  </si>
  <si>
    <t xml:space="preserve">OC-BMG-2026-0030</t>
  </si>
  <si>
    <t xml:space="preserve">0030-PROYINFINITY224-SHOWROOM</t>
  </si>
  <si>
    <t xml:space="preserve">0030OC Asturias</t>
  </si>
  <si>
    <t xml:space="preserve">Diego Espinoza</t>
  </si>
  <si>
    <t xml:space="preserve">Proveedor persona: revisar si es recibo por honorarios (sin IGV)</t>
  </si>
  <si>
    <t xml:space="preserve">OC-BMG-2026-0031</t>
  </si>
  <si>
    <t xml:space="preserve">0031-PROYINFINITY224-SHOWROOM</t>
  </si>
  <si>
    <t xml:space="preserve">0031 OCcompras varias</t>
  </si>
  <si>
    <t xml:space="preserve">compras varias</t>
  </si>
  <si>
    <t xml:space="preserve">Posible IGV duplicado: las líneas citan comprobantes ya emitidos</t>
  </si>
  <si>
    <t xml:space="preserve">OC-BMG-2026-0032</t>
  </si>
  <si>
    <t xml:space="preserve">0032-PROYINFINITY224-SHOWROOM</t>
  </si>
  <si>
    <t xml:space="preserve">0032 OC Papeleria</t>
  </si>
  <si>
    <t xml:space="preserve">Papeleria</t>
  </si>
  <si>
    <t xml:space="preserve">OC-BMG-2026-0034</t>
  </si>
  <si>
    <t xml:space="preserve">0034-PROYINFINITY224-SHOWROOM</t>
  </si>
  <si>
    <t xml:space="preserve">0034 OC MOBEL</t>
  </si>
  <si>
    <t xml:space="preserve">OC-BMG-2026-0035</t>
  </si>
  <si>
    <t xml:space="preserve">0035-PROYINFINITY224-SHOWROOM</t>
  </si>
  <si>
    <t xml:space="preserve">0035 OC ARTESA</t>
  </si>
  <si>
    <t xml:space="preserve">OC-BMG-2026-0036</t>
  </si>
  <si>
    <t xml:space="preserve">0036-PROYINFINITY224-SHOWROOM</t>
  </si>
  <si>
    <t xml:space="preserve">0036 DEVERCOMP</t>
  </si>
  <si>
    <t xml:space="preserve">OC-BMG-2026-0037</t>
  </si>
  <si>
    <t xml:space="preserve">0037-PROYINFINITY224-SHOWROOM</t>
  </si>
  <si>
    <t xml:space="preserve">0037 BLUEDRAGON</t>
  </si>
  <si>
    <t xml:space="preserve">OC-BMG-2026-0038</t>
  </si>
  <si>
    <t xml:space="preserve">0038-PROYINFINITY224-SHOWROOM</t>
  </si>
  <si>
    <t xml:space="preserve">0038 OCcompras varias</t>
  </si>
  <si>
    <t xml:space="preserve">OC-BMG-2026-0039</t>
  </si>
  <si>
    <t xml:space="preserve">0039-PROYINFINITY224-SHOWROOM</t>
  </si>
  <si>
    <t xml:space="preserve">0039 DEVERCOMP</t>
  </si>
  <si>
    <t xml:space="preserve">OC-BMG-2026-0040</t>
  </si>
  <si>
    <t xml:space="preserve">0040-PROYINFINITY224-SHOWROOM</t>
  </si>
  <si>
    <t xml:space="preserve">0040 Soporte Vidrio</t>
  </si>
  <si>
    <t xml:space="preserve">OS-BMG-2025-0010</t>
  </si>
  <si>
    <t xml:space="preserve">0010-PROYINFINITY224-SHOWROOM</t>
  </si>
  <si>
    <t xml:space="preserve">0010 OS Crealab</t>
  </si>
  <si>
    <t xml:space="preserve">Crealab</t>
  </si>
  <si>
    <t xml:space="preserve">OS-BMG-2025-0011</t>
  </si>
  <si>
    <t xml:space="preserve">0011-PROYINFINITY224-SHOWROOM</t>
  </si>
  <si>
    <t xml:space="preserve">0011 OS Crealab</t>
  </si>
  <si>
    <t xml:space="preserve">OS-BMG-2025-0012</t>
  </si>
  <si>
    <t xml:space="preserve">0012-PROYINFINITY224-SHOWROOM</t>
  </si>
  <si>
    <t xml:space="preserve">0012 OS Crealab</t>
  </si>
  <si>
    <t xml:space="preserve">OS-BMG-2025-0013</t>
  </si>
  <si>
    <t xml:space="preserve">0013-PROYINFINITY224-SHOWROOM</t>
  </si>
  <si>
    <t xml:space="preserve">0013 OS Crealab</t>
  </si>
  <si>
    <t xml:space="preserve">OS-BMG-2025-0014</t>
  </si>
  <si>
    <t xml:space="preserve">0014-PROYINFINITY224-SHOWROOM</t>
  </si>
  <si>
    <t xml:space="preserve">0014 OS Crealab</t>
  </si>
  <si>
    <t xml:space="preserve">OS-BMG-2025-0015</t>
  </si>
  <si>
    <t xml:space="preserve">0015-PROYINFINITY224-SHOWROOM</t>
  </si>
  <si>
    <t xml:space="preserve">0015 OS Crealab</t>
  </si>
  <si>
    <t xml:space="preserve">OS-BMG-2026-0016</t>
  </si>
  <si>
    <t xml:space="preserve">0016-PROYINFINITY224-SHOWROOM</t>
  </si>
  <si>
    <t xml:space="preserve">0016 OS Crealab</t>
  </si>
  <si>
    <t xml:space="preserve">OS-BMG-2026-0017</t>
  </si>
  <si>
    <t xml:space="preserve">0017-PROYINFINITY224-SHOWROOM</t>
  </si>
  <si>
    <t xml:space="preserve">0017 OS Crealab</t>
  </si>
  <si>
    <t xml:space="preserve">OS-BMG-2026-0018</t>
  </si>
  <si>
    <t xml:space="preserve">0018-PROYINFINITY224-SHOWROOM</t>
  </si>
  <si>
    <t xml:space="preserve">0018 OS Crealab</t>
  </si>
  <si>
    <t xml:space="preserve">OS-BMG-2026-0019</t>
  </si>
  <si>
    <t xml:space="preserve">0019-PROYINFINITY224-SHOWROOM</t>
  </si>
  <si>
    <t xml:space="preserve">0019 OS Crealab</t>
  </si>
  <si>
    <t xml:space="preserve">OS-BMG-2026-0020</t>
  </si>
  <si>
    <t xml:space="preserve">0020 OS NEOPATISH</t>
  </si>
  <si>
    <t xml:space="preserve">OS-BMG-2026-0021</t>
  </si>
  <si>
    <t xml:space="preserve">0021 OS TUNA</t>
  </si>
  <si>
    <t xml:space="preserve">OS-BMG-2026-0022</t>
  </si>
  <si>
    <t xml:space="preserve">0022 OS Web Slinky</t>
  </si>
  <si>
    <t xml:space="preserve">Slinky</t>
  </si>
  <si>
    <t xml:space="preserve">OS-BMG-2026-0023</t>
  </si>
  <si>
    <t xml:space="preserve">0023 OS Mayo</t>
  </si>
  <si>
    <t xml:space="preserve">OS-BMG-2026-0024</t>
  </si>
  <si>
    <t xml:space="preserve">0024 OS Meta</t>
  </si>
  <si>
    <t xml:space="preserve">Meta Facebook Publicidad</t>
  </si>
  <si>
    <t xml:space="preserve">OS-BMG-2026-0025</t>
  </si>
  <si>
    <t xml:space="preserve">0025 OS Muni</t>
  </si>
  <si>
    <t xml:space="preserve">Muni San miguel</t>
  </si>
  <si>
    <t xml:space="preserve">OS-BMG-2026-0026</t>
  </si>
  <si>
    <t xml:space="preserve">0026 OS Tramites</t>
  </si>
  <si>
    <t xml:space="preserve">Fernando Castillo</t>
  </si>
  <si>
    <t xml:space="preserve">OS-BMG-2026-0027</t>
  </si>
  <si>
    <t xml:space="preserve">0027OS Isotipo</t>
  </si>
  <si>
    <t xml:space="preserve">Jorge Orestes Custodio Gutierrez</t>
  </si>
  <si>
    <t xml:space="preserve">OS-BMG-2026-0028</t>
  </si>
  <si>
    <t xml:space="preserve">0028OS Doble99</t>
  </si>
  <si>
    <t xml:space="preserve">OS-BMG-2026-0030</t>
  </si>
  <si>
    <t xml:space="preserve">0030 OS TUNA</t>
  </si>
  <si>
    <t xml:space="preserve">OS-BMG-2026-0031</t>
  </si>
  <si>
    <t xml:space="preserve">0031 OS TUNA</t>
  </si>
  <si>
    <t xml:space="preserve">OS-BMG-2026-0032</t>
  </si>
  <si>
    <t xml:space="preserve">0032 OS TUNA</t>
  </si>
  <si>
    <t xml:space="preserve">OS-BMG-2026-0033</t>
  </si>
  <si>
    <t xml:space="preserve">0033-PROYINFINITY224-SHOWROOM</t>
  </si>
  <si>
    <t xml:space="preserve">0033 OS TUNA</t>
  </si>
  <si>
    <t xml:space="preserve">OS-BMG-2026-0034</t>
  </si>
  <si>
    <t xml:space="preserve">0034 OS TUNA</t>
  </si>
  <si>
    <t xml:space="preserve">OS-BMG-2026-0035</t>
  </si>
  <si>
    <t xml:space="preserve">0035 OS Mifibra</t>
  </si>
  <si>
    <t xml:space="preserve">mifibra</t>
  </si>
  <si>
    <t xml:space="preserve">OS-BMG-2026-0036</t>
  </si>
  <si>
    <t xml:space="preserve">0036 OS Encuadernado</t>
  </si>
  <si>
    <t xml:space="preserve">Martinez ramos irina mercedez</t>
  </si>
  <si>
    <t xml:space="preserve">OS-BMG-2026-0037</t>
  </si>
  <si>
    <t xml:space="preserve">0037 OS Valorem</t>
  </si>
  <si>
    <t xml:space="preserve">OS-BMG-2026-0038</t>
  </si>
  <si>
    <t xml:space="preserve">0038 OS LAYSECA</t>
  </si>
  <si>
    <t xml:space="preserve">OS-BMG-2026-0039</t>
  </si>
  <si>
    <t xml:space="preserve">0039 OS TUNA</t>
  </si>
  <si>
    <t xml:space="preserve">OS-BMG-2026-0040</t>
  </si>
  <si>
    <t xml:space="preserve">0040 OS CCD Educa</t>
  </si>
  <si>
    <t xml:space="preserve">OS-BMG-2026-0041</t>
  </si>
  <si>
    <t xml:space="preserve">0041-PROYINFINITY224-SHOWROOM</t>
  </si>
  <si>
    <t xml:space="preserve">0041 OS PAGO TC</t>
  </si>
  <si>
    <t xml:space="preserve">TARJETA VISA BBVA</t>
  </si>
  <si>
    <t xml:space="preserve">OS-BMG-2026-0042</t>
  </si>
  <si>
    <t xml:space="preserve">0042-PROYINFINITY224-SHOWROOM</t>
  </si>
  <si>
    <t xml:space="preserve">0042 OS GRAPHCOLOR</t>
  </si>
  <si>
    <t xml:space="preserve">0042 OS Mifibra</t>
  </si>
  <si>
    <t xml:space="preserve">OS-BMG-2026-0043</t>
  </si>
  <si>
    <t xml:space="preserve">0043-PROYINFINITY224-SHOWROOM</t>
  </si>
  <si>
    <t xml:space="preserve">0043 OS GRAPHCOLOR</t>
  </si>
  <si>
    <t xml:space="preserve">OS-BMG-2026-0044</t>
  </si>
  <si>
    <t xml:space="preserve">0044-PROYINFINITY224-SHOWROOM</t>
  </si>
  <si>
    <t xml:space="preserve">0044 OS TUNA</t>
  </si>
  <si>
    <t xml:space="preserve">OS-BMG-2026-0045</t>
  </si>
  <si>
    <t xml:space="preserve">0045-PROYINFINITY224-SHOWROOM</t>
  </si>
  <si>
    <t xml:space="preserve">0045 OS TUNA</t>
  </si>
  <si>
    <t xml:space="preserve">OS-BMG-2026-0046</t>
  </si>
  <si>
    <t xml:space="preserve">0046-PROYINFINITY224-SHOWROOM</t>
  </si>
  <si>
    <t xml:space="preserve">0046 OS TUNA</t>
  </si>
  <si>
    <t xml:space="preserve">OC-MZA-2020-0024</t>
  </si>
  <si>
    <t xml:space="preserve">0024-PROYPRISMAETAPA1</t>
  </si>
  <si>
    <t xml:space="preserve">0024Minera Luren</t>
  </si>
  <si>
    <t xml:space="preserve">PRISMA ETAPA 1</t>
  </si>
  <si>
    <t xml:space="preserve">Solo trae totales por línea, sin precio unitario</t>
  </si>
  <si>
    <t xml:space="preserve">OC-MZA-2021-0027</t>
  </si>
  <si>
    <t xml:space="preserve">0027-PROYPRISMAETAPA1</t>
  </si>
  <si>
    <t xml:space="preserve">0027 Compra Concreto SMS</t>
  </si>
  <si>
    <t xml:space="preserve">OC-MZA-2021-0028</t>
  </si>
  <si>
    <t xml:space="preserve">0028-PROYPRISMAETAPA1</t>
  </si>
  <si>
    <t xml:space="preserve">0028 compra concreto SMS</t>
  </si>
  <si>
    <t xml:space="preserve">OC-MZA-2021-0029</t>
  </si>
  <si>
    <t xml:space="preserve">0029-PROYPRISMAETAPA1</t>
  </si>
  <si>
    <t xml:space="preserve">0029 Compra Concreto SMS</t>
  </si>
  <si>
    <t xml:space="preserve">OC-MZA-2020-0030</t>
  </si>
  <si>
    <t xml:space="preserve">0030-PROYPRISMAETAPA1</t>
  </si>
  <si>
    <t xml:space="preserve">0030 Compra de Acero</t>
  </si>
  <si>
    <t xml:space="preserve">Total en cero (sin precios)</t>
  </si>
  <si>
    <t xml:space="preserve">OC-MZA-2021-0031</t>
  </si>
  <si>
    <t xml:space="preserve">0031-PROYPRISMAETAPA1</t>
  </si>
  <si>
    <t xml:space="preserve">0031 Compra de Concreto SMS</t>
  </si>
  <si>
    <t xml:space="preserve">ORDEN DE COMPRA</t>
  </si>
  <si>
    <t xml:space="preserve">N.º</t>
  </si>
  <si>
    <t xml:space="preserve">Revisión</t>
  </si>
  <si>
    <t xml:space="preserve">PROVEEDOR</t>
  </si>
  <si>
    <t xml:space="preserve">FACTURAR A</t>
  </si>
  <si>
    <t xml:space="preserve">Dir. fiscal</t>
  </si>
  <si>
    <t xml:space="preserve">Comprobante</t>
  </si>
  <si>
    <t xml:space="preserve">Factura electrónica</t>
  </si>
  <si>
    <t xml:space="preserve">Cotización</t>
  </si>
  <si>
    <t xml:space="preserve">PEN</t>
  </si>
  <si>
    <t xml:space="preserve">PROYECTO</t>
  </si>
  <si>
    <t xml:space="preserve">ENTREGA</t>
  </si>
  <si>
    <t xml:space="preserve">INFINITY 224</t>
  </si>
  <si>
    <t xml:space="preserve">Lugar</t>
  </si>
  <si>
    <t xml:space="preserve">Showroom Infinity 224</t>
  </si>
  <si>
    <t xml:space="preserve">Centro de costo</t>
  </si>
  <si>
    <t xml:space="preserve">Showroom</t>
  </si>
  <si>
    <t xml:space="preserve">Calle La Apacheta 224, San Miguel, Lima</t>
  </si>
  <si>
    <t xml:space="preserve">Partida</t>
  </si>
  <si>
    <t xml:space="preserve">Equipamiento del showroom</t>
  </si>
  <si>
    <t xml:space="preserve">Martín Montezuma · 987 208 622</t>
  </si>
  <si>
    <t xml:space="preserve">Requerimiento</t>
  </si>
  <si>
    <t xml:space="preserve">Horario / plazo</t>
  </si>
  <si>
    <t xml:space="preserve">L-V 9:30–12:00 y 14:00–16:00 · S 9:30–12:00</t>
  </si>
  <si>
    <t xml:space="preserve">#</t>
  </si>
  <si>
    <t xml:space="preserve">Descripción</t>
  </si>
  <si>
    <t xml:space="preserve">Und.</t>
  </si>
  <si>
    <t xml:space="preserve">Cantidad</t>
  </si>
  <si>
    <t xml:space="preserve">P. unitario</t>
  </si>
  <si>
    <t xml:space="preserve">Parcial</t>
  </si>
  <si>
    <t xml:space="preserve">Impresora multifuncional Brother DCP-T430W, Wi-Fi · serie U67684A6H980457</t>
  </si>
  <si>
    <t xml:space="preserve">und</t>
  </si>
  <si>
    <t xml:space="preserve">CONDICIONES</t>
  </si>
  <si>
    <t xml:space="preserve">Forma de pago</t>
  </si>
  <si>
    <t xml:space="preserve">Contado, contra entrega y factura</t>
  </si>
  <si>
    <t xml:space="preserve">Plazo</t>
  </si>
  <si>
    <t xml:space="preserve">Entrega en 3 días hábiles</t>
  </si>
  <si>
    <t xml:space="preserve">IGV 18 %</t>
  </si>
  <si>
    <t xml:space="preserve">Garantía</t>
  </si>
  <si>
    <t xml:space="preserve">Garantía del fabricante</t>
  </si>
  <si>
    <t xml:space="preserve">Otros cargos</t>
  </si>
  <si>
    <t xml:space="preserve">Penalidad</t>
  </si>
  <si>
    <t xml:space="preserve">Abonar en</t>
  </si>
  <si>
    <t xml:space="preserve">Detracción %</t>
  </si>
  <si>
    <t xml:space="preserve">Retención 4.ª cat.</t>
  </si>
  <si>
    <t xml:space="preserve">Neto a pagar</t>
  </si>
  <si>
    <t xml:space="preserve">OBSERVACIONES</t>
  </si>
  <si>
    <t xml:space="preserve">Ejemplo con los datos de la orden 0039. Reemplaza las celdas amarillas.</t>
  </si>
  <si>
    <t xml:space="preserve">ELABORÓ</t>
  </si>
  <si>
    <t xml:space="preserve">REVISÓ</t>
  </si>
  <si>
    <t xml:space="preserve">APROBÓ</t>
  </si>
  <si>
    <t xml:space="preserve">ACEPTÓ · PROVEEDOR</t>
  </si>
  <si>
    <t xml:space="preserve">Nombre:</t>
  </si>
  <si>
    <t xml:space="preserve">Cargo y fecha:</t>
  </si>
  <si>
    <t xml:space="preserve">Código de verificación: lo asigna el ERP al emitir la orden.</t>
  </si>
  <si>
    <t xml:space="preserve">ORDEN DE SERVICIO</t>
  </si>
  <si>
    <t xml:space="preserve">EJECUCIÓN DEL SERVICIO</t>
  </si>
  <si>
    <t xml:space="preserve">Remoto y showroom Infinity 224</t>
  </si>
  <si>
    <t xml:space="preserve">Marketing y ventas</t>
  </si>
  <si>
    <t xml:space="preserve">Gestión de redes sociales</t>
  </si>
  <si>
    <t xml:space="preserve">Del 1 al 31 de agosto de 2026</t>
  </si>
  <si>
    <t xml:space="preserve">Asesoría en estrategia de marketing y administración de redes sociales, del 1 al 31 de agosto de 2026</t>
  </si>
  <si>
    <t xml:space="preserve">mes</t>
  </si>
  <si>
    <t xml:space="preserve">Mensual, a 7 días de la conformidad y factura</t>
  </si>
  <si>
    <t xml:space="preserve">Servicio mensual</t>
  </si>
  <si>
    <t xml:space="preserve">Descuento proporcional por entregables no cumplidos</t>
  </si>
  <si>
    <t xml:space="preserve">Ejemplo con los datos de la orden 0045. Detracción referencial: confirmar el porcentaje con Contabilidad.</t>
  </si>
  <si>
    <t xml:space="preserve">CONFORMIDAD DEL SERVICIO</t>
  </si>
  <si>
    <t xml:space="preserve">04 - 2021</t>
  </si>
  <si>
    <t xml:space="preserve">PRISMA · ETAPA 1</t>
  </si>
  <si>
    <t xml:space="preserve">Obra Prisma, etapa 1</t>
  </si>
  <si>
    <t xml:space="preserve">Obra</t>
  </si>
  <si>
    <t xml:space="preserve">Av. Fundo Chacra Cerro, lote 62, Comas, Lima</t>
  </si>
  <si>
    <t xml:space="preserve">Concreto premezclado</t>
  </si>
  <si>
    <t xml:space="preserve">Ing. Miguel Iñapi · 946 198 130</t>
  </si>
  <si>
    <t xml:space="preserve">L-V 8:30–12:00 y 14:00–16:00 · S 8:30–12:00</t>
  </si>
  <si>
    <t xml:space="preserve">Concreto premezclado tipo HS, f′c 175, piedra 67 o 57, slump 5 a 6 pulg, IP</t>
  </si>
  <si>
    <t xml:space="preserve">m³</t>
  </si>
  <si>
    <t xml:space="preserve">Servicio de bomba (mínimo 20 m³)</t>
  </si>
  <si>
    <t xml:space="preserve">glb</t>
  </si>
  <si>
    <t xml:space="preserve">Contado o según línea de crédito</t>
  </si>
  <si>
    <t xml:space="preserve">Vaciado programado con 48 h de aviso</t>
  </si>
  <si>
    <t xml:space="preserve">Certificado de calidad y probetas</t>
  </si>
  <si>
    <t xml:space="preserve">Ejemplo con los datos de la orden 0028.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</si>
</sst>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000"/>
    <numFmt numFmtId="166" formatCode="@"/>
    <numFmt numFmtId="167" formatCode="dd/mm/yyyy"/>
    <numFmt numFmtId="168" formatCode="#,##0.00"/>
    <numFmt numFmtId="169" formatCode="0"/>
    <numFmt numFmtId="170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5442A"/>
      <name val="Arial"/>
      <family val="0"/>
      <charset val="1"/>
    </font>
    <font>
      <sz val="10"/>
      <color rgb="FF1F1712"/>
      <name val="Arial"/>
      <family val="0"/>
      <charset val="1"/>
    </font>
    <font>
      <b val="true"/>
      <sz val="11"/>
      <color rgb="FF1F171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F1712"/>
      <name val="Arial"/>
      <family val="0"/>
      <charset val="1"/>
    </font>
    <font>
      <b val="true"/>
      <sz val="9"/>
      <color rgb="FF1F1712"/>
      <name val="Arial"/>
      <family val="0"/>
      <charset val="1"/>
    </font>
    <font>
      <sz val="10"/>
      <name val="Arial"/>
      <family val="2"/>
    </font>
    <font>
      <b val="true"/>
      <sz val="12"/>
      <color rgb="FF85442A"/>
      <name val="Arial"/>
      <family val="0"/>
      <charset val="1"/>
    </font>
    <font>
      <i val="true"/>
      <sz val="9"/>
      <color rgb="FF6B5F57"/>
      <name val="Arial"/>
      <family val="0"/>
      <charset val="1"/>
    </font>
    <font>
      <b val="true"/>
      <sz val="13"/>
      <color rgb="FF85442A"/>
      <name val="Arial"/>
      <family val="0"/>
      <charset val="1"/>
    </font>
    <font>
      <b val="true"/>
      <sz val="10"/>
      <color rgb="FF85442A"/>
      <name val="Arial"/>
      <family val="0"/>
      <charset val="1"/>
    </font>
    <font>
      <sz val="9"/>
      <color rgb="FFA8641A"/>
      <name val="Arial"/>
      <family val="0"/>
      <charset val="1"/>
    </font>
    <font>
      <i val="true"/>
      <sz val="8"/>
      <color rgb="FF6B5F57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8"/>
      <color rgb="FF6B5F57"/>
      <name val="Arial"/>
      <family val="0"/>
      <charset val="1"/>
    </font>
    <font>
      <b val="true"/>
      <sz val="10"/>
      <color rgb="FF1F1712"/>
      <name val="Arial"/>
      <family val="0"/>
      <charset val="1"/>
    </font>
    <font>
      <b val="true"/>
      <sz val="9"/>
      <color rgb="FF85442A"/>
      <name val="Arial"/>
      <family val="0"/>
      <charset val="1"/>
    </font>
    <font>
      <b val="true"/>
      <sz val="11"/>
      <color rgb="FF85442A"/>
      <name val="Arial"/>
      <family val="0"/>
      <charset val="1"/>
    </font>
    <font>
      <b val="true"/>
      <sz val="8"/>
      <color rgb="FF85442A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1F1712"/>
      <name val="Arial"/>
      <family val="0"/>
      <charset val="1"/>
    </font>
    <font>
      <sz val="7.5"/>
      <color rgb="FF6B5F57"/>
      <name val="Arial"/>
      <family val="0"/>
      <charset val="1"/>
    </font>
    <font>
      <b val="true"/>
      <sz val="7.5"/>
      <color rgb="FF85442A"/>
      <name val="Arial"/>
      <family val="0"/>
      <charset val="1"/>
    </font>
    <font>
      <b val="true"/>
      <sz val="9"/>
      <color rgb="FF1F1F1F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8"/>
      <color rgb="FF1F1F1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b val="true"/>
      <sz val="7.5"/>
      <color rgb="FF1F1F1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8DC"/>
        <bgColor rgb="FFFFFFFF"/>
      </patternFill>
    </fill>
    <fill>
      <patternFill patternType="solid">
        <fgColor rgb="FF85442A"/>
        <bgColor rgb="FF993366"/>
      </patternFill>
    </fill>
    <fill>
      <patternFill patternType="solid">
        <fgColor rgb="FFF4E7DF"/>
        <bgColor rgb="FFECECEC"/>
      </patternFill>
    </fill>
    <fill>
      <patternFill patternType="solid">
        <fgColor rgb="FF1F1F1F"/>
        <bgColor rgb="FF1F1712"/>
      </patternFill>
    </fill>
    <fill>
      <patternFill patternType="solid">
        <fgColor rgb="FFECECEC"/>
        <bgColor rgb="FFF4E7D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8CBC1"/>
      </left>
      <right style="thin">
        <color rgb="FFD8CBC1"/>
      </right>
      <top style="thin">
        <color rgb="FFD8CBC1"/>
      </top>
      <bottom style="thin">
        <color rgb="FFD8CBC1"/>
      </bottom>
      <diagonal/>
    </border>
    <border diagonalUp="false" diagonalDown="false">
      <left/>
      <right/>
      <top/>
      <bottom style="thin">
        <color rgb="FFD8CBC1"/>
      </bottom>
      <diagonal/>
    </border>
    <border diagonalUp="false" diagonalDown="false">
      <left/>
      <right/>
      <top/>
      <bottom style="medium">
        <color rgb="FF85442A"/>
      </bottom>
      <diagonal/>
    </border>
    <border diagonalUp="false" diagonalDown="false">
      <left style="thin">
        <color rgb="FFD8CBC1"/>
      </left>
      <right style="thin">
        <color rgb="FFD8CBC1"/>
      </right>
      <top style="thin">
        <color rgb="FFD8CBC1"/>
      </top>
      <bottom/>
      <diagonal/>
    </border>
    <border diagonalUp="false" diagonalDown="false">
      <left style="thin">
        <color rgb="FFD8CBC1"/>
      </left>
      <right style="thin">
        <color rgb="FFD8CBC1"/>
      </right>
      <top/>
      <bottom style="thin">
        <color rgb="FFD8CBC1"/>
      </bottom>
      <diagonal/>
    </border>
    <border diagonalUp="false" diagonalDown="false">
      <left style="thin">
        <color rgb="FFD8CBC1"/>
      </left>
      <right style="thin">
        <color rgb="FFD8CBC1"/>
      </right>
      <top/>
      <bottom/>
      <diagonal/>
    </border>
    <border diagonalUp="false" diagonalDown="false">
      <left/>
      <right/>
      <top/>
      <bottom style="medium">
        <color rgb="FF1F1F1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3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3" fillId="3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4" fillId="4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8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3" fillId="5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6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8" fontId="30" fillId="6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8544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71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8641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41A"/>
      <rgbColor rgb="FF800080"/>
      <rgbColor rgb="FF008080"/>
      <rgbColor rgb="FFD8CBC1"/>
      <rgbColor rgb="FF808080"/>
      <rgbColor rgb="FF9999FF"/>
      <rgbColor rgb="FF993366"/>
      <rgbColor rgb="FFFFF8DC"/>
      <rgbColor rgb="FFECEC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7DF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F57"/>
      <rgbColor rgb="FF969696"/>
      <rgbColor rgb="FF003366"/>
      <rgbColor rgb="FF339966"/>
      <rgbColor rgb="FF003300"/>
      <rgbColor rgb="FF1F1712"/>
      <rgbColor rgb="FF85442A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780480</xdr:colOff>
      <xdr:row>1</xdr:row>
      <xdr:rowOff>132840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2190240" cy="437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780480</xdr:colOff>
      <xdr:row>1</xdr:row>
      <xdr:rowOff>132840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2190240" cy="437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9000</xdr:colOff>
      <xdr:row>1</xdr:row>
      <xdr:rowOff>132840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0"/>
          <a:ext cx="1418760" cy="437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9000</xdr:colOff>
      <xdr:row>1</xdr:row>
      <xdr:rowOff>132840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0"/>
          <a:ext cx="1418760" cy="4377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7.35" hidden="false" customHeight="false" outlineLevel="0" collapsed="false">
      <c r="B2" s="1" t="s">
        <v>0</v>
      </c>
    </row>
    <row r="3" customFormat="false" ht="23.8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23.8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23.8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23.8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14</v>
      </c>
    </row>
    <row r="20" customFormat="false" ht="23.8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/>
    </row>
    <row r="22" customFormat="false" ht="23.8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7" min="6" style="0" width="28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</row>
    <row r="2" customFormat="false" ht="15" hidden="false" customHeight="false" outlineLevel="0" collapsed="false">
      <c r="A2" s="6" t="s">
        <v>26</v>
      </c>
      <c r="B2" s="6" t="s">
        <v>27</v>
      </c>
      <c r="C2" s="6" t="s">
        <v>28</v>
      </c>
      <c r="D2" s="6" t="s">
        <v>29</v>
      </c>
      <c r="E2" s="6" t="s">
        <v>30</v>
      </c>
      <c r="F2" s="6" t="s">
        <v>31</v>
      </c>
      <c r="G2" s="6" t="s">
        <v>32</v>
      </c>
      <c r="H2" s="7" t="n">
        <f aca="false">SUMPRODUCT(MAX((Registro!$A$6:$A$400=$A2)*(Registro!$B$6:$B$400="OC")*Registro!$C$6:$C$400))+1</f>
        <v>41</v>
      </c>
      <c r="I2" s="7" t="n">
        <f aca="false">SUMPRODUCT(MAX((Registro!$A$6:$A$400=$A2)*(Registro!$B$6:$B$400="OS")*Registro!$C$6:$C$400))+1</f>
        <v>47</v>
      </c>
    </row>
    <row r="3" customFormat="false" ht="15" hidden="false" customHeight="false" outlineLevel="0" collapsed="false">
      <c r="A3" s="6" t="s">
        <v>33</v>
      </c>
      <c r="B3" s="6" t="s">
        <v>34</v>
      </c>
      <c r="C3" s="6" t="s">
        <v>35</v>
      </c>
      <c r="D3" s="6" t="s">
        <v>29</v>
      </c>
      <c r="E3" s="6" t="s">
        <v>36</v>
      </c>
      <c r="F3" s="6" t="s">
        <v>37</v>
      </c>
      <c r="G3" s="6" t="s">
        <v>38</v>
      </c>
      <c r="H3" s="7" t="n">
        <f aca="false">SUMPRODUCT(MAX((Registro!$A$6:$A$400=$A3)*(Registro!$B$6:$B$400="OC")*Registro!$C$6:$C$400))+1</f>
        <v>32</v>
      </c>
      <c r="I3" s="7" t="n">
        <f aca="false">SUMPRODUCT(MAX((Registro!$A$6:$A$400=$A3)*(Registro!$B$6:$B$400="OS")*Registro!$C$6:$C$400))+1</f>
        <v>1</v>
      </c>
    </row>
    <row r="4" customFormat="false" ht="15" hidden="false" customHeight="false" outlineLevel="0" collapsed="false">
      <c r="A4" s="8" t="s">
        <v>39</v>
      </c>
      <c r="B4" s="8" t="s">
        <v>40</v>
      </c>
      <c r="C4" s="8"/>
      <c r="D4" s="8"/>
      <c r="E4" s="8"/>
      <c r="F4" s="8"/>
      <c r="G4" s="8"/>
      <c r="H4" s="7" t="n">
        <f aca="false">SUMPRODUCT(MAX((Registro!$A$6:$A$400=$A4)*(Registro!$B$6:$B$400="OC")*Registro!$C$6:$C$400))+1</f>
        <v>1</v>
      </c>
      <c r="I4" s="7" t="n">
        <f aca="false">SUMPRODUCT(MAX((Registro!$A$6:$A$400=$A4)*(Registro!$B$6:$B$400="OS")*Registro!$C$6:$C$400))+1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9"/>
    <col collapsed="false" customWidth="true" hidden="false" outlineLevel="0" max="10" min="10" style="0" width="24"/>
    <col collapsed="false" customWidth="true" hidden="false" outlineLevel="0" max="11" min="11" style="0" width="26"/>
  </cols>
  <sheetData>
    <row r="1" customFormat="false" ht="15" hidden="false" customHeight="false" outlineLevel="0" collapsed="false">
      <c r="A1" s="9" t="s">
        <v>41</v>
      </c>
    </row>
    <row r="2" customFormat="false" ht="15" hidden="false" customHeight="false" outlineLevel="0" collapsed="false">
      <c r="A2" s="10" t="s">
        <v>42</v>
      </c>
    </row>
    <row r="4" customFormat="false" ht="15" hidden="false" customHeight="false" outlineLevel="0" collapsed="false">
      <c r="A4" s="11" t="s">
        <v>43</v>
      </c>
      <c r="B4" s="11" t="s">
        <v>44</v>
      </c>
      <c r="C4" s="11" t="s">
        <v>45</v>
      </c>
      <c r="D4" s="11" t="s">
        <v>46</v>
      </c>
      <c r="E4" s="11" t="s">
        <v>47</v>
      </c>
      <c r="F4" s="11" t="s">
        <v>21</v>
      </c>
      <c r="G4" s="11" t="s">
        <v>48</v>
      </c>
      <c r="H4" s="11" t="s">
        <v>49</v>
      </c>
      <c r="I4" s="11" t="s">
        <v>50</v>
      </c>
      <c r="J4" s="11" t="s">
        <v>51</v>
      </c>
      <c r="K4" s="11" t="s">
        <v>52</v>
      </c>
    </row>
    <row r="5" customFormat="false" ht="15" hidden="false" customHeight="false" outlineLevel="0" collapsed="false">
      <c r="A5" s="12" t="s">
        <v>53</v>
      </c>
      <c r="B5" s="13"/>
      <c r="C5" s="13"/>
      <c r="D5" s="12"/>
      <c r="E5" s="12"/>
      <c r="F5" s="12"/>
      <c r="G5" s="12"/>
      <c r="H5" s="12"/>
      <c r="I5" s="12"/>
      <c r="J5" s="13"/>
      <c r="K5" s="12"/>
    </row>
    <row r="6" customFormat="false" ht="15" hidden="false" customHeight="false" outlineLevel="0" collapsed="false">
      <c r="A6" s="12" t="s">
        <v>54</v>
      </c>
      <c r="B6" s="13"/>
      <c r="C6" s="13"/>
      <c r="D6" s="12"/>
      <c r="E6" s="12"/>
      <c r="F6" s="12"/>
      <c r="G6" s="12"/>
      <c r="H6" s="12"/>
      <c r="I6" s="12"/>
      <c r="J6" s="13"/>
      <c r="K6" s="12"/>
    </row>
    <row r="7" customFormat="false" ht="15" hidden="false" customHeight="false" outlineLevel="0" collapsed="false">
      <c r="A7" s="12" t="s">
        <v>55</v>
      </c>
      <c r="B7" s="13"/>
      <c r="C7" s="13"/>
      <c r="D7" s="12"/>
      <c r="E7" s="12"/>
      <c r="F7" s="12"/>
      <c r="G7" s="12"/>
      <c r="H7" s="12"/>
      <c r="I7" s="12"/>
      <c r="J7" s="13"/>
      <c r="K7" s="12"/>
    </row>
    <row r="8" customFormat="false" ht="15" hidden="false" customHeight="false" outlineLevel="0" collapsed="false">
      <c r="A8" s="12" t="s">
        <v>56</v>
      </c>
      <c r="B8" s="13"/>
      <c r="C8" s="13"/>
      <c r="D8" s="12"/>
      <c r="E8" s="12"/>
      <c r="F8" s="12"/>
      <c r="G8" s="12"/>
      <c r="H8" s="12"/>
      <c r="I8" s="12"/>
      <c r="J8" s="13"/>
      <c r="K8" s="12"/>
    </row>
    <row r="9" customFormat="false" ht="15" hidden="false" customHeight="false" outlineLevel="0" collapsed="false">
      <c r="A9" s="12" t="s">
        <v>57</v>
      </c>
      <c r="B9" s="13"/>
      <c r="C9" s="13"/>
      <c r="D9" s="12"/>
      <c r="E9" s="12"/>
      <c r="F9" s="12"/>
      <c r="G9" s="12"/>
      <c r="H9" s="12"/>
      <c r="I9" s="12"/>
      <c r="J9" s="13"/>
      <c r="K9" s="12"/>
    </row>
    <row r="10" customFormat="false" ht="15" hidden="false" customHeight="false" outlineLevel="0" collapsed="false">
      <c r="A10" s="12" t="s">
        <v>58</v>
      </c>
      <c r="B10" s="13"/>
      <c r="C10" s="13"/>
      <c r="D10" s="12"/>
      <c r="E10" s="12"/>
      <c r="F10" s="12" t="s">
        <v>59</v>
      </c>
      <c r="G10" s="12"/>
      <c r="H10" s="12"/>
      <c r="I10" s="12"/>
      <c r="J10" s="13"/>
      <c r="K10" s="12"/>
    </row>
    <row r="11" customFormat="false" ht="15" hidden="false" customHeight="false" outlineLevel="0" collapsed="false">
      <c r="A11" s="12" t="s">
        <v>60</v>
      </c>
      <c r="B11" s="13"/>
      <c r="C11" s="13"/>
      <c r="D11" s="12"/>
      <c r="E11" s="12"/>
      <c r="F11" s="12"/>
      <c r="G11" s="12"/>
      <c r="H11" s="12"/>
      <c r="I11" s="12"/>
      <c r="J11" s="13"/>
      <c r="K11" s="12"/>
    </row>
    <row r="12" customFormat="false" ht="15" hidden="false" customHeight="false" outlineLevel="0" collapsed="false">
      <c r="A12" s="12" t="s">
        <v>61</v>
      </c>
      <c r="B12" s="13"/>
      <c r="C12" s="13"/>
      <c r="D12" s="12"/>
      <c r="E12" s="12"/>
      <c r="F12" s="12"/>
      <c r="G12" s="12"/>
      <c r="H12" s="12"/>
      <c r="I12" s="12"/>
      <c r="J12" s="13"/>
      <c r="K12" s="12"/>
    </row>
    <row r="13" customFormat="false" ht="15" hidden="false" customHeight="false" outlineLevel="0" collapsed="false">
      <c r="A13" s="12" t="s">
        <v>62</v>
      </c>
      <c r="B13" s="13"/>
      <c r="C13" s="13"/>
      <c r="D13" s="12"/>
      <c r="E13" s="12"/>
      <c r="F13" s="12"/>
      <c r="G13" s="12"/>
      <c r="H13" s="12"/>
      <c r="I13" s="12"/>
      <c r="J13" s="13"/>
      <c r="K13" s="12"/>
    </row>
    <row r="14" customFormat="false" ht="15" hidden="false" customHeight="false" outlineLevel="0" collapsed="false">
      <c r="A14" s="12" t="s">
        <v>63</v>
      </c>
      <c r="B14" s="13"/>
      <c r="C14" s="13"/>
      <c r="D14" s="12"/>
      <c r="E14" s="12"/>
      <c r="F14" s="12"/>
      <c r="G14" s="12"/>
      <c r="H14" s="12"/>
      <c r="I14" s="12"/>
      <c r="J14" s="13"/>
      <c r="K14" s="12"/>
    </row>
    <row r="15" customFormat="false" ht="15" hidden="false" customHeight="false" outlineLevel="0" collapsed="false">
      <c r="A15" s="12" t="s">
        <v>64</v>
      </c>
      <c r="B15" s="13"/>
      <c r="C15" s="13"/>
      <c r="D15" s="12"/>
      <c r="E15" s="12"/>
      <c r="F15" s="12"/>
      <c r="G15" s="12"/>
      <c r="H15" s="12"/>
      <c r="I15" s="12"/>
      <c r="J15" s="13"/>
      <c r="K15" s="12"/>
    </row>
    <row r="16" customFormat="false" ht="15" hidden="false" customHeight="false" outlineLevel="0" collapsed="false">
      <c r="A16" s="12" t="s">
        <v>65</v>
      </c>
      <c r="B16" s="13"/>
      <c r="C16" s="13"/>
      <c r="D16" s="12"/>
      <c r="E16" s="12"/>
      <c r="F16" s="12" t="s">
        <v>66</v>
      </c>
      <c r="G16" s="12"/>
      <c r="H16" s="12"/>
      <c r="I16" s="12"/>
      <c r="J16" s="13"/>
      <c r="K16" s="12"/>
    </row>
    <row r="17" customFormat="false" ht="15" hidden="false" customHeight="false" outlineLevel="0" collapsed="false">
      <c r="A17" s="12" t="s">
        <v>67</v>
      </c>
      <c r="B17" s="13"/>
      <c r="C17" s="13"/>
      <c r="D17" s="12"/>
      <c r="E17" s="12"/>
      <c r="F17" s="12"/>
      <c r="G17" s="12"/>
      <c r="H17" s="12"/>
      <c r="I17" s="12"/>
      <c r="J17" s="13"/>
      <c r="K17" s="12"/>
    </row>
    <row r="18" customFormat="false" ht="15" hidden="false" customHeight="false" outlineLevel="0" collapsed="false">
      <c r="A18" s="12" t="s">
        <v>68</v>
      </c>
      <c r="B18" s="13"/>
      <c r="C18" s="13"/>
      <c r="D18" s="12"/>
      <c r="E18" s="12"/>
      <c r="F18" s="12"/>
      <c r="G18" s="12"/>
      <c r="H18" s="12"/>
      <c r="I18" s="12"/>
      <c r="J18" s="13"/>
      <c r="K18" s="12"/>
    </row>
    <row r="19" customFormat="false" ht="15" hidden="false" customHeight="false" outlineLevel="0" collapsed="false">
      <c r="A19" s="12" t="s">
        <v>69</v>
      </c>
      <c r="B19" s="12" t="s">
        <v>70</v>
      </c>
      <c r="C19" s="13"/>
      <c r="D19" s="12"/>
      <c r="E19" s="12"/>
      <c r="F19" s="12"/>
      <c r="G19" s="12"/>
      <c r="H19" s="12"/>
      <c r="I19" s="12" t="s">
        <v>71</v>
      </c>
      <c r="J19" s="12" t="s">
        <v>72</v>
      </c>
      <c r="K19" s="12"/>
    </row>
    <row r="20" customFormat="false" ht="15" hidden="false" customHeight="false" outlineLevel="0" collapsed="false">
      <c r="A20" s="12" t="s">
        <v>73</v>
      </c>
      <c r="B20" s="13"/>
      <c r="C20" s="13"/>
      <c r="D20" s="12"/>
      <c r="E20" s="12"/>
      <c r="F20" s="12"/>
      <c r="G20" s="12"/>
      <c r="H20" s="12"/>
      <c r="I20" s="12"/>
      <c r="J20" s="13"/>
      <c r="K20" s="12"/>
    </row>
    <row r="21" customFormat="false" ht="15" hidden="false" customHeight="false" outlineLevel="0" collapsed="false">
      <c r="A21" s="12" t="s">
        <v>74</v>
      </c>
      <c r="B21" s="13"/>
      <c r="C21" s="13"/>
      <c r="D21" s="12"/>
      <c r="E21" s="12"/>
      <c r="F21" s="12"/>
      <c r="G21" s="12"/>
      <c r="H21" s="12"/>
      <c r="I21" s="12"/>
      <c r="J21" s="13"/>
      <c r="K21" s="12"/>
    </row>
    <row r="22" customFormat="false" ht="15" hidden="false" customHeight="false" outlineLevel="0" collapsed="false">
      <c r="A22" s="12" t="s">
        <v>75</v>
      </c>
      <c r="B22" s="13"/>
      <c r="C22" s="12" t="s">
        <v>76</v>
      </c>
      <c r="D22" s="12"/>
      <c r="E22" s="12"/>
      <c r="F22" s="12"/>
      <c r="G22" s="12"/>
      <c r="H22" s="12"/>
      <c r="I22" s="12"/>
      <c r="J22" s="13"/>
      <c r="K22" s="12"/>
    </row>
    <row r="23" customFormat="false" ht="15" hidden="false" customHeight="false" outlineLevel="0" collapsed="false">
      <c r="A23" s="12" t="s">
        <v>77</v>
      </c>
      <c r="B23" s="13"/>
      <c r="C23" s="13"/>
      <c r="D23" s="12"/>
      <c r="E23" s="12"/>
      <c r="F23" s="12"/>
      <c r="G23" s="12"/>
      <c r="H23" s="12"/>
      <c r="I23" s="12"/>
      <c r="J23" s="13"/>
      <c r="K23" s="12"/>
    </row>
    <row r="24" customFormat="false" ht="15" hidden="false" customHeight="false" outlineLevel="0" collapsed="false">
      <c r="A24" s="12" t="s">
        <v>78</v>
      </c>
      <c r="B24" s="13"/>
      <c r="C24" s="13"/>
      <c r="D24" s="12"/>
      <c r="E24" s="12" t="s">
        <v>79</v>
      </c>
      <c r="F24" s="12"/>
      <c r="G24" s="12"/>
      <c r="H24" s="12" t="s">
        <v>80</v>
      </c>
      <c r="I24" s="12" t="s">
        <v>71</v>
      </c>
      <c r="J24" s="12" t="s">
        <v>81</v>
      </c>
      <c r="K24" s="12" t="s">
        <v>82</v>
      </c>
    </row>
    <row r="25" customFormat="false" ht="15" hidden="false" customHeight="false" outlineLevel="0" collapsed="false">
      <c r="A25" s="12" t="s">
        <v>83</v>
      </c>
      <c r="B25" s="13"/>
      <c r="C25" s="12" t="s">
        <v>84</v>
      </c>
      <c r="D25" s="12"/>
      <c r="E25" s="12"/>
      <c r="F25" s="12"/>
      <c r="G25" s="12"/>
      <c r="H25" s="12"/>
      <c r="I25" s="12"/>
      <c r="J25" s="13"/>
      <c r="K25" s="12"/>
    </row>
    <row r="26" customFormat="false" ht="15" hidden="false" customHeight="false" outlineLevel="0" collapsed="false">
      <c r="A26" s="12" t="s">
        <v>85</v>
      </c>
      <c r="B26" s="13"/>
      <c r="C26" s="13"/>
      <c r="D26" s="12"/>
      <c r="E26" s="12"/>
      <c r="F26" s="12"/>
      <c r="G26" s="12"/>
      <c r="H26" s="12"/>
      <c r="I26" s="12"/>
      <c r="J26" s="13"/>
      <c r="K26" s="12"/>
    </row>
    <row r="27" customFormat="false" ht="15" hidden="false" customHeight="false" outlineLevel="0" collapsed="false">
      <c r="A27" s="12" t="s">
        <v>86</v>
      </c>
      <c r="B27" s="13"/>
      <c r="C27" s="13"/>
      <c r="D27" s="12"/>
      <c r="E27" s="12"/>
      <c r="F27" s="12"/>
      <c r="G27" s="12"/>
      <c r="H27" s="12"/>
      <c r="I27" s="12"/>
      <c r="J27" s="13"/>
      <c r="K27" s="12"/>
    </row>
    <row r="28" customFormat="false" ht="15" hidden="false" customHeight="false" outlineLevel="0" collapsed="false">
      <c r="A28" s="12" t="s">
        <v>87</v>
      </c>
      <c r="B28" s="13"/>
      <c r="C28" s="13"/>
      <c r="D28" s="12"/>
      <c r="E28" s="12"/>
      <c r="F28" s="12"/>
      <c r="G28" s="12"/>
      <c r="H28" s="12"/>
      <c r="I28" s="12"/>
      <c r="J28" s="13"/>
      <c r="K28" s="12"/>
    </row>
    <row r="29" customFormat="false" ht="15" hidden="false" customHeight="false" outlineLevel="0" collapsed="false">
      <c r="A29" s="12" t="s">
        <v>88</v>
      </c>
      <c r="B29" s="13"/>
      <c r="C29" s="13"/>
      <c r="D29" s="12"/>
      <c r="E29" s="12"/>
      <c r="F29" s="12"/>
      <c r="G29" s="12"/>
      <c r="H29" s="12"/>
      <c r="I29" s="12"/>
      <c r="J29" s="13"/>
      <c r="K29" s="12"/>
    </row>
    <row r="30" customFormat="false" ht="15" hidden="false" customHeight="false" outlineLevel="0" collapsed="false">
      <c r="A30" s="12" t="s">
        <v>89</v>
      </c>
      <c r="B30" s="13"/>
      <c r="C30" s="13"/>
      <c r="D30" s="12"/>
      <c r="E30" s="12"/>
      <c r="F30" s="12"/>
      <c r="G30" s="12"/>
      <c r="H30" s="12"/>
      <c r="I30" s="12"/>
      <c r="J30" s="13"/>
      <c r="K30" s="12"/>
    </row>
    <row r="31" customFormat="false" ht="15" hidden="false" customHeight="false" outlineLevel="0" collapsed="false">
      <c r="A31" s="12" t="s">
        <v>90</v>
      </c>
      <c r="B31" s="13"/>
      <c r="C31" s="13"/>
      <c r="D31" s="12"/>
      <c r="E31" s="12"/>
      <c r="F31" s="12"/>
      <c r="G31" s="12"/>
      <c r="H31" s="12"/>
      <c r="I31" s="12"/>
      <c r="J31" s="13"/>
      <c r="K31" s="12"/>
    </row>
    <row r="32" customFormat="false" ht="15" hidden="false" customHeight="false" outlineLevel="0" collapsed="false">
      <c r="A32" s="12" t="s">
        <v>91</v>
      </c>
      <c r="B32" s="13"/>
      <c r="C32" s="13"/>
      <c r="D32" s="12"/>
      <c r="E32" s="12"/>
      <c r="F32" s="12"/>
      <c r="G32" s="12"/>
      <c r="H32" s="12"/>
      <c r="I32" s="12"/>
      <c r="J32" s="13"/>
      <c r="K32" s="12"/>
    </row>
    <row r="33" customFormat="false" ht="15" hidden="false" customHeight="false" outlineLevel="0" collapsed="false">
      <c r="A33" s="12" t="s">
        <v>92</v>
      </c>
      <c r="B33" s="13"/>
      <c r="C33" s="13"/>
      <c r="D33" s="12"/>
      <c r="E33" s="12"/>
      <c r="F33" s="12"/>
      <c r="G33" s="12"/>
      <c r="H33" s="12"/>
      <c r="I33" s="12"/>
      <c r="J33" s="13"/>
      <c r="K33" s="12"/>
    </row>
    <row r="34" customFormat="false" ht="15" hidden="false" customHeight="false" outlineLevel="0" collapsed="false">
      <c r="A34" s="12" t="s">
        <v>93</v>
      </c>
      <c r="B34" s="13"/>
      <c r="C34" s="13"/>
      <c r="D34" s="12" t="s">
        <v>94</v>
      </c>
      <c r="E34" s="12"/>
      <c r="F34" s="12" t="s">
        <v>95</v>
      </c>
      <c r="G34" s="12"/>
      <c r="H34" s="12" t="s">
        <v>80</v>
      </c>
      <c r="I34" s="12" t="s">
        <v>71</v>
      </c>
      <c r="J34" s="12" t="s">
        <v>96</v>
      </c>
      <c r="K34" s="12"/>
    </row>
    <row r="35" customFormat="false" ht="15" hidden="false" customHeight="false" outlineLevel="0" collapsed="false">
      <c r="A35" s="12" t="s">
        <v>97</v>
      </c>
      <c r="B35" s="13"/>
      <c r="C35" s="13"/>
      <c r="D35" s="12"/>
      <c r="E35" s="12"/>
      <c r="F35" s="12"/>
      <c r="G35" s="12"/>
      <c r="H35" s="12"/>
      <c r="I35" s="12"/>
      <c r="J35" s="13"/>
      <c r="K3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3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52"/>
    <col collapsed="false" customWidth="true" hidden="false" outlineLevel="0" max="15" min="15" style="0" width="2"/>
    <col collapsed="false" customWidth="true" hidden="false" outlineLevel="0" max="16" min="16" style="0" width="9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13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2" min="22" style="0" width="11"/>
  </cols>
  <sheetData>
    <row r="1" customFormat="false" ht="16.15" hidden="false" customHeight="false" outlineLevel="0" collapsed="false">
      <c r="A1" s="14" t="s">
        <v>98</v>
      </c>
    </row>
    <row r="2" customFormat="false" ht="15" hidden="false" customHeight="false" outlineLevel="0" collapsed="false">
      <c r="A2" s="10" t="s">
        <v>99</v>
      </c>
    </row>
    <row r="5" customFormat="false" ht="22.35" hidden="false" customHeight="false" outlineLevel="0" collapsed="false">
      <c r="A5" s="5" t="s">
        <v>100</v>
      </c>
      <c r="B5" s="5" t="s">
        <v>101</v>
      </c>
      <c r="C5" s="5" t="s">
        <v>102</v>
      </c>
      <c r="D5" s="5" t="s">
        <v>103</v>
      </c>
      <c r="E5" s="5" t="s">
        <v>104</v>
      </c>
      <c r="F5" s="5" t="s">
        <v>105</v>
      </c>
      <c r="G5" s="5" t="s">
        <v>106</v>
      </c>
      <c r="H5" s="5" t="s">
        <v>107</v>
      </c>
      <c r="I5" s="5" t="s">
        <v>43</v>
      </c>
      <c r="J5" s="5" t="s">
        <v>108</v>
      </c>
      <c r="K5" s="5" t="s">
        <v>109</v>
      </c>
      <c r="L5" s="5" t="s">
        <v>110</v>
      </c>
      <c r="M5" s="5" t="s">
        <v>111</v>
      </c>
      <c r="N5" s="5" t="s">
        <v>112</v>
      </c>
      <c r="P5" s="15" t="s">
        <v>113</v>
      </c>
    </row>
    <row r="6" customFormat="false" ht="15" hidden="false" customHeight="false" outlineLevel="0" collapsed="false">
      <c r="A6" s="16" t="s">
        <v>26</v>
      </c>
      <c r="B6" s="16" t="s">
        <v>114</v>
      </c>
      <c r="C6" s="17" t="n">
        <v>20</v>
      </c>
      <c r="D6" s="16" t="s">
        <v>115</v>
      </c>
      <c r="E6" s="16" t="s">
        <v>116</v>
      </c>
      <c r="F6" s="16" t="s">
        <v>117</v>
      </c>
      <c r="G6" s="18" t="n">
        <v>46148</v>
      </c>
      <c r="H6" s="16" t="s">
        <v>118</v>
      </c>
      <c r="I6" s="16" t="s">
        <v>53</v>
      </c>
      <c r="J6" s="19" t="n">
        <v>565.64</v>
      </c>
      <c r="K6" s="19" t="n">
        <v>101.82</v>
      </c>
      <c r="L6" s="19" t="n">
        <v>667.46</v>
      </c>
      <c r="M6" s="19" t="n">
        <v>565.64</v>
      </c>
      <c r="N6" s="16"/>
      <c r="P6" s="11" t="s">
        <v>100</v>
      </c>
      <c r="Q6" s="11" t="s">
        <v>101</v>
      </c>
      <c r="R6" s="11" t="s">
        <v>119</v>
      </c>
      <c r="S6" s="11" t="s">
        <v>108</v>
      </c>
      <c r="T6" s="11" t="s">
        <v>109</v>
      </c>
      <c r="U6" s="11" t="s">
        <v>110</v>
      </c>
      <c r="V6" s="11" t="s">
        <v>120</v>
      </c>
    </row>
    <row r="7" customFormat="false" ht="15" hidden="false" customHeight="false" outlineLevel="0" collapsed="false">
      <c r="A7" s="16" t="s">
        <v>26</v>
      </c>
      <c r="B7" s="16" t="s">
        <v>114</v>
      </c>
      <c r="C7" s="17" t="n">
        <v>21</v>
      </c>
      <c r="D7" s="16" t="s">
        <v>121</v>
      </c>
      <c r="E7" s="16" t="s">
        <v>122</v>
      </c>
      <c r="F7" s="16" t="s">
        <v>123</v>
      </c>
      <c r="G7" s="18" t="n">
        <v>46148</v>
      </c>
      <c r="H7" s="16" t="s">
        <v>118</v>
      </c>
      <c r="I7" s="16" t="s">
        <v>124</v>
      </c>
      <c r="J7" s="19" t="n">
        <v>358.47</v>
      </c>
      <c r="K7" s="19" t="n">
        <v>64.52</v>
      </c>
      <c r="L7" s="19" t="n">
        <v>422.99</v>
      </c>
      <c r="M7" s="19" t="n">
        <v>358.47</v>
      </c>
      <c r="N7" s="16"/>
      <c r="P7" s="16" t="s">
        <v>26</v>
      </c>
      <c r="Q7" s="16" t="s">
        <v>114</v>
      </c>
      <c r="R7" s="16" t="n">
        <f aca="false">COUNTIFS($A$6:$A$69,P7,$B$6:$B$69,Q7)</f>
        <v>21</v>
      </c>
      <c r="S7" s="19" t="n">
        <f aca="false">SUMIFS($J$6:$J$69,$A$6:$A$69,P7,$B$6:$B$69,Q7)</f>
        <v>8006.34</v>
      </c>
      <c r="T7" s="19" t="n">
        <f aca="false">SUMIFS($K$6:$K$69,$A$6:$A$69,P7,$B$6:$B$69,Q7)</f>
        <v>1396.77</v>
      </c>
      <c r="U7" s="19" t="n">
        <f aca="false">SUMIFS($L$6:$L$69,$A$6:$A$69,P7,$B$6:$B$69,Q7)</f>
        <v>9403.11</v>
      </c>
      <c r="V7" s="16" t="n">
        <f aca="false">COUNTIFS($A$6:$A$69,P7,$B$6:$B$69,Q7,$N$6:$N$69,"?*")</f>
        <v>6</v>
      </c>
    </row>
    <row r="8" customFormat="false" ht="15" hidden="false" customHeight="false" outlineLevel="0" collapsed="false">
      <c r="A8" s="16" t="s">
        <v>26</v>
      </c>
      <c r="B8" s="16" t="s">
        <v>114</v>
      </c>
      <c r="C8" s="17" t="n">
        <v>22</v>
      </c>
      <c r="D8" s="16" t="s">
        <v>125</v>
      </c>
      <c r="E8" s="16" t="s">
        <v>126</v>
      </c>
      <c r="F8" s="16" t="s">
        <v>127</v>
      </c>
      <c r="G8" s="18" t="n">
        <v>46148</v>
      </c>
      <c r="H8" s="16" t="s">
        <v>118</v>
      </c>
      <c r="I8" s="16" t="s">
        <v>88</v>
      </c>
      <c r="J8" s="19" t="n">
        <v>177.12</v>
      </c>
      <c r="K8" s="19" t="n">
        <v>31.88</v>
      </c>
      <c r="L8" s="19" t="n">
        <v>209</v>
      </c>
      <c r="M8" s="19" t="n">
        <v>177.12</v>
      </c>
      <c r="N8" s="16"/>
      <c r="P8" s="16" t="s">
        <v>26</v>
      </c>
      <c r="Q8" s="16" t="s">
        <v>128</v>
      </c>
      <c r="R8" s="16" t="n">
        <f aca="false">COUNTIFS($A$6:$A$69,P8,$B$6:$B$69,Q8)</f>
        <v>37</v>
      </c>
      <c r="S8" s="19" t="n">
        <f aca="false">SUMIFS($J$6:$J$69,$A$6:$A$69,P8,$B$6:$B$69,Q8)</f>
        <v>46305.37</v>
      </c>
      <c r="T8" s="19" t="n">
        <f aca="false">SUMIFS($K$6:$K$69,$A$6:$A$69,P8,$B$6:$B$69,Q8)</f>
        <v>7830.45</v>
      </c>
      <c r="U8" s="19" t="n">
        <f aca="false">SUMIFS($L$6:$L$69,$A$6:$A$69,P8,$B$6:$B$69,Q8)</f>
        <v>54135.82</v>
      </c>
      <c r="V8" s="16" t="n">
        <f aca="false">COUNTIFS($A$6:$A$69,P8,$B$6:$B$69,Q8,$N$6:$N$69,"?*")</f>
        <v>5</v>
      </c>
    </row>
    <row r="9" customFormat="false" ht="15" hidden="false" customHeight="false" outlineLevel="0" collapsed="false">
      <c r="A9" s="16" t="s">
        <v>26</v>
      </c>
      <c r="B9" s="16" t="s">
        <v>114</v>
      </c>
      <c r="C9" s="17" t="n">
        <v>23</v>
      </c>
      <c r="D9" s="16" t="s">
        <v>129</v>
      </c>
      <c r="E9" s="16" t="s">
        <v>130</v>
      </c>
      <c r="F9" s="16" t="s">
        <v>131</v>
      </c>
      <c r="G9" s="18" t="n">
        <v>46148</v>
      </c>
      <c r="H9" s="16" t="s">
        <v>118</v>
      </c>
      <c r="I9" s="16" t="s">
        <v>132</v>
      </c>
      <c r="J9" s="19" t="n">
        <v>93.29</v>
      </c>
      <c r="K9" s="19" t="n">
        <v>16.79</v>
      </c>
      <c r="L9" s="19" t="n">
        <v>110.08</v>
      </c>
      <c r="M9" s="19" t="n">
        <v>93.29</v>
      </c>
      <c r="N9" s="16"/>
      <c r="P9" s="16" t="s">
        <v>33</v>
      </c>
      <c r="Q9" s="16" t="s">
        <v>114</v>
      </c>
      <c r="R9" s="16" t="n">
        <f aca="false">COUNTIFS($A$6:$A$69,P9,$B$6:$B$69,Q9)</f>
        <v>6</v>
      </c>
      <c r="S9" s="19" t="n">
        <f aca="false">SUMIFS($J$6:$J$69,$A$6:$A$69,P9,$B$6:$B$69,Q9)</f>
        <v>28158</v>
      </c>
      <c r="T9" s="19" t="n">
        <f aca="false">SUMIFS($K$6:$K$69,$A$6:$A$69,P9,$B$6:$B$69,Q9)</f>
        <v>5068.44</v>
      </c>
      <c r="U9" s="19" t="n">
        <f aca="false">SUMIFS($L$6:$L$69,$A$6:$A$69,P9,$B$6:$B$69,Q9)</f>
        <v>33226.44</v>
      </c>
      <c r="V9" s="16" t="n">
        <f aca="false">COUNTIFS($A$6:$A$69,P9,$B$6:$B$69,Q9,$N$6:$N$69,"?*")</f>
        <v>2</v>
      </c>
    </row>
    <row r="10" customFormat="false" ht="15" hidden="false" customHeight="false" outlineLevel="0" collapsed="false">
      <c r="A10" s="16" t="s">
        <v>26</v>
      </c>
      <c r="B10" s="16" t="s">
        <v>114</v>
      </c>
      <c r="C10" s="17" t="n">
        <v>24</v>
      </c>
      <c r="D10" s="16" t="s">
        <v>133</v>
      </c>
      <c r="E10" s="16" t="s">
        <v>134</v>
      </c>
      <c r="F10" s="16" t="s">
        <v>135</v>
      </c>
      <c r="G10" s="18" t="n">
        <v>46148</v>
      </c>
      <c r="H10" s="16" t="s">
        <v>118</v>
      </c>
      <c r="I10" s="16" t="s">
        <v>132</v>
      </c>
      <c r="J10" s="19" t="n">
        <v>643.22</v>
      </c>
      <c r="K10" s="19" t="n">
        <v>115.78</v>
      </c>
      <c r="L10" s="19" t="n">
        <v>759</v>
      </c>
      <c r="M10" s="19" t="n">
        <v>527.9</v>
      </c>
      <c r="N10" s="20" t="s">
        <v>136</v>
      </c>
      <c r="P10" s="16" t="s">
        <v>33</v>
      </c>
      <c r="Q10" s="16" t="s">
        <v>128</v>
      </c>
      <c r="R10" s="16" t="n">
        <f aca="false">COUNTIFS($A$6:$A$69,P10,$B$6:$B$69,Q10)</f>
        <v>0</v>
      </c>
      <c r="S10" s="19" t="n">
        <f aca="false">SUMIFS($J$6:$J$69,$A$6:$A$69,P10,$B$6:$B$69,Q10)</f>
        <v>0</v>
      </c>
      <c r="T10" s="19" t="n">
        <f aca="false">SUMIFS($K$6:$K$69,$A$6:$A$69,P10,$B$6:$B$69,Q10)</f>
        <v>0</v>
      </c>
      <c r="U10" s="19" t="n">
        <f aca="false">SUMIFS($L$6:$L$69,$A$6:$A$69,P10,$B$6:$B$69,Q10)</f>
        <v>0</v>
      </c>
      <c r="V10" s="16" t="n">
        <f aca="false">COUNTIFS($A$6:$A$69,P10,$B$6:$B$69,Q10,$N$6:$N$69,"?*")</f>
        <v>0</v>
      </c>
    </row>
    <row r="11" customFormat="false" ht="15" hidden="false" customHeight="false" outlineLevel="0" collapsed="false">
      <c r="A11" s="16" t="s">
        <v>26</v>
      </c>
      <c r="B11" s="16" t="s">
        <v>114</v>
      </c>
      <c r="C11" s="17" t="n">
        <v>25</v>
      </c>
      <c r="D11" s="16" t="s">
        <v>137</v>
      </c>
      <c r="E11" s="16" t="s">
        <v>138</v>
      </c>
      <c r="F11" s="16" t="s">
        <v>139</v>
      </c>
      <c r="G11" s="18" t="n">
        <v>46148</v>
      </c>
      <c r="H11" s="16" t="s">
        <v>118</v>
      </c>
      <c r="I11" s="16" t="s">
        <v>140</v>
      </c>
      <c r="J11" s="19" t="n">
        <v>634.74</v>
      </c>
      <c r="K11" s="19" t="n">
        <v>114.25</v>
      </c>
      <c r="L11" s="19" t="n">
        <v>748.99</v>
      </c>
      <c r="M11" s="19" t="n">
        <v>634.74</v>
      </c>
      <c r="N11" s="16"/>
      <c r="P11" s="21" t="s">
        <v>110</v>
      </c>
      <c r="R11" s="22" t="n">
        <f aca="false">SUM(R7:R10)</f>
        <v>64</v>
      </c>
      <c r="S11" s="23" t="n">
        <f aca="false">SUM(S7:S10)</f>
        <v>82469.71</v>
      </c>
      <c r="T11" s="23" t="n">
        <f aca="false">SUM(T7:T10)</f>
        <v>14295.66</v>
      </c>
      <c r="U11" s="23" t="n">
        <f aca="false">SUM(U7:U10)</f>
        <v>96765.37</v>
      </c>
      <c r="V11" s="22" t="n">
        <f aca="false">SUM(V7:V10)</f>
        <v>13</v>
      </c>
    </row>
    <row r="12" customFormat="false" ht="15" hidden="false" customHeight="false" outlineLevel="0" collapsed="false">
      <c r="A12" s="16" t="s">
        <v>26</v>
      </c>
      <c r="B12" s="16" t="s">
        <v>114</v>
      </c>
      <c r="C12" s="17" t="n">
        <v>26</v>
      </c>
      <c r="D12" s="16" t="s">
        <v>141</v>
      </c>
      <c r="E12" s="16" t="s">
        <v>142</v>
      </c>
      <c r="F12" s="16" t="s">
        <v>143</v>
      </c>
      <c r="G12" s="18" t="n">
        <v>46150</v>
      </c>
      <c r="H12" s="16" t="s">
        <v>118</v>
      </c>
      <c r="I12" s="16" t="s">
        <v>64</v>
      </c>
      <c r="J12" s="19" t="n">
        <v>343.2</v>
      </c>
      <c r="K12" s="19" t="n">
        <v>61.78</v>
      </c>
      <c r="L12" s="19" t="n">
        <v>404.98</v>
      </c>
      <c r="M12" s="19" t="n">
        <v>343.2</v>
      </c>
      <c r="N12" s="16"/>
    </row>
    <row r="13" customFormat="false" ht="15" hidden="false" customHeight="false" outlineLevel="0" collapsed="false">
      <c r="A13" s="16" t="s">
        <v>26</v>
      </c>
      <c r="B13" s="16" t="s">
        <v>114</v>
      </c>
      <c r="C13" s="17" t="n">
        <v>27</v>
      </c>
      <c r="D13" s="16" t="s">
        <v>144</v>
      </c>
      <c r="E13" s="16" t="s">
        <v>145</v>
      </c>
      <c r="F13" s="16" t="s">
        <v>146</v>
      </c>
      <c r="G13" s="18" t="n">
        <v>46150</v>
      </c>
      <c r="H13" s="16" t="s">
        <v>118</v>
      </c>
      <c r="I13" s="16" t="s">
        <v>147</v>
      </c>
      <c r="J13" s="19" t="n">
        <v>506.95</v>
      </c>
      <c r="K13" s="19" t="n">
        <v>91.25</v>
      </c>
      <c r="L13" s="19" t="n">
        <v>598.2</v>
      </c>
      <c r="M13" s="19" t="n">
        <v>506.95</v>
      </c>
      <c r="N13" s="16"/>
      <c r="P13" s="24" t="s">
        <v>148</v>
      </c>
    </row>
    <row r="14" customFormat="false" ht="15" hidden="false" customHeight="false" outlineLevel="0" collapsed="false">
      <c r="A14" s="16" t="s">
        <v>26</v>
      </c>
      <c r="B14" s="16" t="s">
        <v>114</v>
      </c>
      <c r="C14" s="17" t="n">
        <v>28</v>
      </c>
      <c r="D14" s="16" t="s">
        <v>149</v>
      </c>
      <c r="E14" s="16" t="s">
        <v>150</v>
      </c>
      <c r="F14" s="16" t="s">
        <v>151</v>
      </c>
      <c r="G14" s="18" t="n">
        <v>46150</v>
      </c>
      <c r="H14" s="16" t="s">
        <v>118</v>
      </c>
      <c r="I14" s="16" t="s">
        <v>152</v>
      </c>
      <c r="J14" s="19" t="n">
        <v>246.48</v>
      </c>
      <c r="K14" s="19" t="n">
        <v>0</v>
      </c>
      <c r="L14" s="19" t="n">
        <v>246.48</v>
      </c>
      <c r="M14" s="19" t="n">
        <v>246.48</v>
      </c>
      <c r="N14" s="16"/>
    </row>
    <row r="15" customFormat="false" ht="15" hidden="false" customHeight="false" outlineLevel="0" collapsed="false">
      <c r="A15" s="16" t="s">
        <v>26</v>
      </c>
      <c r="B15" s="16" t="s">
        <v>114</v>
      </c>
      <c r="C15" s="17" t="n">
        <v>29</v>
      </c>
      <c r="D15" s="16" t="s">
        <v>153</v>
      </c>
      <c r="E15" s="16" t="s">
        <v>154</v>
      </c>
      <c r="F15" s="16" t="s">
        <v>155</v>
      </c>
      <c r="G15" s="18" t="n">
        <v>46156</v>
      </c>
      <c r="H15" s="16" t="s">
        <v>118</v>
      </c>
      <c r="I15" s="16" t="s">
        <v>152</v>
      </c>
      <c r="J15" s="19" t="n">
        <v>269.5</v>
      </c>
      <c r="K15" s="19" t="n">
        <v>48.51</v>
      </c>
      <c r="L15" s="19" t="n">
        <v>318.01</v>
      </c>
      <c r="M15" s="19" t="n">
        <v>269.5</v>
      </c>
      <c r="N15" s="20" t="s">
        <v>156</v>
      </c>
    </row>
    <row r="16" customFormat="false" ht="15" hidden="false" customHeight="false" outlineLevel="0" collapsed="false">
      <c r="A16" s="16" t="s">
        <v>26</v>
      </c>
      <c r="B16" s="16" t="s">
        <v>114</v>
      </c>
      <c r="C16" s="17" t="n">
        <v>29</v>
      </c>
      <c r="D16" s="16" t="s">
        <v>153</v>
      </c>
      <c r="E16" s="16" t="s">
        <v>154</v>
      </c>
      <c r="F16" s="16" t="s">
        <v>157</v>
      </c>
      <c r="G16" s="18" t="n">
        <v>46169</v>
      </c>
      <c r="H16" s="16" t="s">
        <v>118</v>
      </c>
      <c r="I16" s="16" t="s">
        <v>158</v>
      </c>
      <c r="J16" s="19" t="n">
        <v>338.98</v>
      </c>
      <c r="K16" s="19" t="n">
        <v>61.02</v>
      </c>
      <c r="L16" s="19" t="n">
        <v>400</v>
      </c>
      <c r="M16" s="19" t="n">
        <v>338.98</v>
      </c>
      <c r="N16" s="20" t="s">
        <v>159</v>
      </c>
    </row>
    <row r="17" customFormat="false" ht="15" hidden="false" customHeight="false" outlineLevel="0" collapsed="false">
      <c r="A17" s="16" t="s">
        <v>26</v>
      </c>
      <c r="B17" s="16" t="s">
        <v>114</v>
      </c>
      <c r="C17" s="17" t="n">
        <v>30</v>
      </c>
      <c r="D17" s="16" t="s">
        <v>160</v>
      </c>
      <c r="E17" s="16" t="s">
        <v>161</v>
      </c>
      <c r="F17" s="16" t="s">
        <v>162</v>
      </c>
      <c r="G17" s="18" t="n">
        <v>46162</v>
      </c>
      <c r="H17" s="16" t="s">
        <v>118</v>
      </c>
      <c r="I17" s="16" t="s">
        <v>163</v>
      </c>
      <c r="J17" s="19" t="n">
        <v>727.79</v>
      </c>
      <c r="K17" s="19" t="n">
        <v>131</v>
      </c>
      <c r="L17" s="19" t="n">
        <v>858.79</v>
      </c>
      <c r="M17" s="19" t="n">
        <v>727.79</v>
      </c>
      <c r="N17" s="20" t="s">
        <v>164</v>
      </c>
    </row>
    <row r="18" customFormat="false" ht="15" hidden="false" customHeight="false" outlineLevel="0" collapsed="false">
      <c r="A18" s="16" t="s">
        <v>26</v>
      </c>
      <c r="B18" s="16" t="s">
        <v>114</v>
      </c>
      <c r="C18" s="17" t="n">
        <v>31</v>
      </c>
      <c r="D18" s="16" t="s">
        <v>165</v>
      </c>
      <c r="E18" s="16" t="s">
        <v>166</v>
      </c>
      <c r="F18" s="16" t="s">
        <v>167</v>
      </c>
      <c r="G18" s="18" t="n">
        <v>46148</v>
      </c>
      <c r="H18" s="16" t="s">
        <v>118</v>
      </c>
      <c r="I18" s="16" t="s">
        <v>168</v>
      </c>
      <c r="J18" s="19" t="n">
        <v>958.15</v>
      </c>
      <c r="K18" s="19" t="n">
        <v>172.47</v>
      </c>
      <c r="L18" s="19" t="n">
        <v>1130.62</v>
      </c>
      <c r="M18" s="19" t="n">
        <v>958.15</v>
      </c>
      <c r="N18" s="20" t="s">
        <v>169</v>
      </c>
    </row>
    <row r="19" customFormat="false" ht="15" hidden="false" customHeight="false" outlineLevel="0" collapsed="false">
      <c r="A19" s="16" t="s">
        <v>26</v>
      </c>
      <c r="B19" s="16" t="s">
        <v>114</v>
      </c>
      <c r="C19" s="17" t="n">
        <v>32</v>
      </c>
      <c r="D19" s="16" t="s">
        <v>170</v>
      </c>
      <c r="E19" s="16" t="s">
        <v>171</v>
      </c>
      <c r="F19" s="16" t="s">
        <v>172</v>
      </c>
      <c r="G19" s="18" t="n">
        <v>46179</v>
      </c>
      <c r="H19" s="16" t="s">
        <v>118</v>
      </c>
      <c r="I19" s="16" t="s">
        <v>173</v>
      </c>
      <c r="J19" s="19" t="n">
        <v>272.03</v>
      </c>
      <c r="K19" s="19" t="n">
        <v>48.97</v>
      </c>
      <c r="L19" s="19" t="n">
        <v>321</v>
      </c>
      <c r="M19" s="19" t="n">
        <v>272.03</v>
      </c>
      <c r="N19" s="16"/>
    </row>
    <row r="20" customFormat="false" ht="15" hidden="false" customHeight="false" outlineLevel="0" collapsed="false">
      <c r="A20" s="16" t="s">
        <v>26</v>
      </c>
      <c r="B20" s="16" t="s">
        <v>114</v>
      </c>
      <c r="C20" s="17" t="n">
        <v>34</v>
      </c>
      <c r="D20" s="16" t="s">
        <v>174</v>
      </c>
      <c r="E20" s="16" t="s">
        <v>175</v>
      </c>
      <c r="F20" s="16" t="s">
        <v>176</v>
      </c>
      <c r="G20" s="18" t="n">
        <v>46189</v>
      </c>
      <c r="H20" s="16" t="s">
        <v>118</v>
      </c>
      <c r="I20" s="16" t="s">
        <v>86</v>
      </c>
      <c r="J20" s="19" t="n">
        <v>207.63</v>
      </c>
      <c r="K20" s="19" t="n">
        <v>37.37</v>
      </c>
      <c r="L20" s="19" t="n">
        <v>245</v>
      </c>
      <c r="M20" s="19" t="n">
        <v>207.63</v>
      </c>
      <c r="N20" s="20" t="s">
        <v>164</v>
      </c>
    </row>
    <row r="21" customFormat="false" ht="15" hidden="false" customHeight="false" outlineLevel="0" collapsed="false">
      <c r="A21" s="16" t="s">
        <v>26</v>
      </c>
      <c r="B21" s="16" t="s">
        <v>114</v>
      </c>
      <c r="C21" s="17" t="n">
        <v>35</v>
      </c>
      <c r="D21" s="16" t="s">
        <v>177</v>
      </c>
      <c r="E21" s="16" t="s">
        <v>178</v>
      </c>
      <c r="F21" s="16" t="s">
        <v>179</v>
      </c>
      <c r="G21" s="18" t="n">
        <v>46189</v>
      </c>
      <c r="H21" s="16" t="s">
        <v>118</v>
      </c>
      <c r="I21" s="16" t="s">
        <v>54</v>
      </c>
      <c r="J21" s="19" t="n">
        <v>266.95</v>
      </c>
      <c r="K21" s="19" t="n">
        <v>48.05</v>
      </c>
      <c r="L21" s="19" t="n">
        <v>315</v>
      </c>
      <c r="M21" s="19" t="n">
        <v>266.95</v>
      </c>
      <c r="N21" s="16"/>
    </row>
    <row r="22" customFormat="false" ht="15" hidden="false" customHeight="false" outlineLevel="0" collapsed="false">
      <c r="A22" s="16" t="s">
        <v>26</v>
      </c>
      <c r="B22" s="16" t="s">
        <v>114</v>
      </c>
      <c r="C22" s="17" t="n">
        <v>36</v>
      </c>
      <c r="D22" s="16" t="s">
        <v>180</v>
      </c>
      <c r="E22" s="16" t="s">
        <v>181</v>
      </c>
      <c r="F22" s="16" t="s">
        <v>182</v>
      </c>
      <c r="G22" s="18" t="n">
        <v>46189</v>
      </c>
      <c r="H22" s="16" t="s">
        <v>118</v>
      </c>
      <c r="I22" s="16" t="s">
        <v>58</v>
      </c>
      <c r="J22" s="19" t="n">
        <v>31.69</v>
      </c>
      <c r="K22" s="19" t="n">
        <v>5.7</v>
      </c>
      <c r="L22" s="19" t="n">
        <v>37.39</v>
      </c>
      <c r="M22" s="19" t="n">
        <v>31.69</v>
      </c>
      <c r="N22" s="16"/>
    </row>
    <row r="23" customFormat="false" ht="15" hidden="false" customHeight="false" outlineLevel="0" collapsed="false">
      <c r="A23" s="16" t="s">
        <v>26</v>
      </c>
      <c r="B23" s="16" t="s">
        <v>114</v>
      </c>
      <c r="C23" s="17" t="n">
        <v>37</v>
      </c>
      <c r="D23" s="16" t="s">
        <v>183</v>
      </c>
      <c r="E23" s="16" t="s">
        <v>184</v>
      </c>
      <c r="F23" s="16" t="s">
        <v>185</v>
      </c>
      <c r="G23" s="18" t="n">
        <v>46189</v>
      </c>
      <c r="H23" s="16" t="s">
        <v>118</v>
      </c>
      <c r="I23" s="16" t="s">
        <v>55</v>
      </c>
      <c r="J23" s="19" t="n">
        <v>40.32</v>
      </c>
      <c r="K23" s="19" t="n">
        <v>7.26</v>
      </c>
      <c r="L23" s="19" t="n">
        <v>47.58</v>
      </c>
      <c r="M23" s="19" t="n">
        <v>40.32</v>
      </c>
      <c r="N23" s="16"/>
    </row>
    <row r="24" customFormat="false" ht="15" hidden="false" customHeight="false" outlineLevel="0" collapsed="false">
      <c r="A24" s="16" t="s">
        <v>26</v>
      </c>
      <c r="B24" s="16" t="s">
        <v>114</v>
      </c>
      <c r="C24" s="17" t="n">
        <v>38</v>
      </c>
      <c r="D24" s="16" t="s">
        <v>186</v>
      </c>
      <c r="E24" s="16" t="s">
        <v>187</v>
      </c>
      <c r="F24" s="16" t="s">
        <v>188</v>
      </c>
      <c r="G24" s="18" t="n">
        <v>46201</v>
      </c>
      <c r="H24" s="16" t="s">
        <v>118</v>
      </c>
      <c r="I24" s="16" t="s">
        <v>168</v>
      </c>
      <c r="J24" s="19" t="n">
        <v>803</v>
      </c>
      <c r="K24" s="19" t="n">
        <v>144.54</v>
      </c>
      <c r="L24" s="19" t="n">
        <v>947.54</v>
      </c>
      <c r="M24" s="19" t="n">
        <v>803</v>
      </c>
      <c r="N24" s="16"/>
    </row>
    <row r="25" customFormat="false" ht="15" hidden="false" customHeight="false" outlineLevel="0" collapsed="false">
      <c r="A25" s="16" t="s">
        <v>26</v>
      </c>
      <c r="B25" s="16" t="s">
        <v>114</v>
      </c>
      <c r="C25" s="17" t="n">
        <v>39</v>
      </c>
      <c r="D25" s="16" t="s">
        <v>189</v>
      </c>
      <c r="E25" s="16" t="s">
        <v>190</v>
      </c>
      <c r="F25" s="16" t="s">
        <v>191</v>
      </c>
      <c r="G25" s="18" t="n">
        <v>46189</v>
      </c>
      <c r="H25" s="16" t="s">
        <v>118</v>
      </c>
      <c r="I25" s="16" t="s">
        <v>58</v>
      </c>
      <c r="J25" s="19" t="n">
        <v>500.85</v>
      </c>
      <c r="K25" s="19" t="n">
        <v>90.15</v>
      </c>
      <c r="L25" s="19" t="n">
        <v>591</v>
      </c>
      <c r="M25" s="19" t="n">
        <v>500.85</v>
      </c>
      <c r="N25" s="16"/>
    </row>
    <row r="26" customFormat="false" ht="15" hidden="false" customHeight="false" outlineLevel="0" collapsed="false">
      <c r="A26" s="16" t="s">
        <v>26</v>
      </c>
      <c r="B26" s="16" t="s">
        <v>114</v>
      </c>
      <c r="C26" s="17" t="n">
        <v>40</v>
      </c>
      <c r="D26" s="16" t="s">
        <v>192</v>
      </c>
      <c r="E26" s="16" t="s">
        <v>193</v>
      </c>
      <c r="F26" s="16" t="s">
        <v>194</v>
      </c>
      <c r="G26" s="18" t="n">
        <v>46181</v>
      </c>
      <c r="H26" s="16" t="s">
        <v>118</v>
      </c>
      <c r="I26" s="16" t="s">
        <v>65</v>
      </c>
      <c r="J26" s="19" t="n">
        <v>20.34</v>
      </c>
      <c r="K26" s="19" t="n">
        <v>3.66</v>
      </c>
      <c r="L26" s="19" t="n">
        <v>24</v>
      </c>
      <c r="M26" s="19" t="n">
        <v>20.34</v>
      </c>
      <c r="N26" s="16"/>
    </row>
    <row r="27" customFormat="false" ht="15" hidden="false" customHeight="false" outlineLevel="0" collapsed="false">
      <c r="A27" s="16" t="s">
        <v>26</v>
      </c>
      <c r="B27" s="16" t="s">
        <v>128</v>
      </c>
      <c r="C27" s="17" t="n">
        <v>10</v>
      </c>
      <c r="D27" s="16" t="s">
        <v>195</v>
      </c>
      <c r="E27" s="16" t="s">
        <v>196</v>
      </c>
      <c r="F27" s="16" t="s">
        <v>197</v>
      </c>
      <c r="G27" s="18" t="n">
        <v>45844</v>
      </c>
      <c r="H27" s="16" t="s">
        <v>118</v>
      </c>
      <c r="I27" s="16" t="s">
        <v>198</v>
      </c>
      <c r="J27" s="19" t="n">
        <v>4250</v>
      </c>
      <c r="K27" s="19" t="n">
        <v>765</v>
      </c>
      <c r="L27" s="19" t="n">
        <v>5015</v>
      </c>
      <c r="M27" s="19" t="n">
        <v>4250</v>
      </c>
      <c r="N27" s="16"/>
    </row>
    <row r="28" customFormat="false" ht="15" hidden="false" customHeight="false" outlineLevel="0" collapsed="false">
      <c r="A28" s="16" t="s">
        <v>26</v>
      </c>
      <c r="B28" s="16" t="s">
        <v>128</v>
      </c>
      <c r="C28" s="17" t="n">
        <v>11</v>
      </c>
      <c r="D28" s="16" t="s">
        <v>199</v>
      </c>
      <c r="E28" s="16" t="s">
        <v>200</v>
      </c>
      <c r="F28" s="16" t="s">
        <v>201</v>
      </c>
      <c r="G28" s="18" t="n">
        <v>45875</v>
      </c>
      <c r="H28" s="16" t="s">
        <v>118</v>
      </c>
      <c r="I28" s="16" t="s">
        <v>198</v>
      </c>
      <c r="J28" s="19" t="n">
        <v>1300</v>
      </c>
      <c r="K28" s="19" t="n">
        <v>234</v>
      </c>
      <c r="L28" s="19" t="n">
        <v>1534</v>
      </c>
      <c r="M28" s="19" t="n">
        <v>1300</v>
      </c>
      <c r="N28" s="16"/>
    </row>
    <row r="29" customFormat="false" ht="15" hidden="false" customHeight="false" outlineLevel="0" collapsed="false">
      <c r="A29" s="16" t="s">
        <v>26</v>
      </c>
      <c r="B29" s="16" t="s">
        <v>128</v>
      </c>
      <c r="C29" s="17" t="n">
        <v>12</v>
      </c>
      <c r="D29" s="16" t="s">
        <v>202</v>
      </c>
      <c r="E29" s="16" t="s">
        <v>203</v>
      </c>
      <c r="F29" s="16" t="s">
        <v>204</v>
      </c>
      <c r="G29" s="18" t="n">
        <v>45906</v>
      </c>
      <c r="H29" s="16" t="s">
        <v>118</v>
      </c>
      <c r="I29" s="16" t="s">
        <v>198</v>
      </c>
      <c r="J29" s="19" t="n">
        <v>1300</v>
      </c>
      <c r="K29" s="19" t="n">
        <v>234</v>
      </c>
      <c r="L29" s="19" t="n">
        <v>1534</v>
      </c>
      <c r="M29" s="19" t="n">
        <v>1300</v>
      </c>
      <c r="N29" s="16"/>
    </row>
    <row r="30" customFormat="false" ht="15" hidden="false" customHeight="false" outlineLevel="0" collapsed="false">
      <c r="A30" s="16" t="s">
        <v>26</v>
      </c>
      <c r="B30" s="16" t="s">
        <v>128</v>
      </c>
      <c r="C30" s="17" t="n">
        <v>13</v>
      </c>
      <c r="D30" s="16" t="s">
        <v>205</v>
      </c>
      <c r="E30" s="16" t="s">
        <v>206</v>
      </c>
      <c r="F30" s="16" t="s">
        <v>207</v>
      </c>
      <c r="G30" s="18" t="n">
        <v>45936</v>
      </c>
      <c r="H30" s="16" t="s">
        <v>118</v>
      </c>
      <c r="I30" s="16" t="s">
        <v>198</v>
      </c>
      <c r="J30" s="19" t="n">
        <v>1300</v>
      </c>
      <c r="K30" s="19" t="n">
        <v>234</v>
      </c>
      <c r="L30" s="19" t="n">
        <v>1534</v>
      </c>
      <c r="M30" s="19" t="n">
        <v>1300</v>
      </c>
      <c r="N30" s="16"/>
    </row>
    <row r="31" customFormat="false" ht="15" hidden="false" customHeight="false" outlineLevel="0" collapsed="false">
      <c r="A31" s="16" t="s">
        <v>26</v>
      </c>
      <c r="B31" s="16" t="s">
        <v>128</v>
      </c>
      <c r="C31" s="17" t="n">
        <v>14</v>
      </c>
      <c r="D31" s="16" t="s">
        <v>208</v>
      </c>
      <c r="E31" s="16" t="s">
        <v>209</v>
      </c>
      <c r="F31" s="16" t="s">
        <v>210</v>
      </c>
      <c r="G31" s="18" t="n">
        <v>45967</v>
      </c>
      <c r="H31" s="16" t="s">
        <v>118</v>
      </c>
      <c r="I31" s="16" t="s">
        <v>198</v>
      </c>
      <c r="J31" s="19" t="n">
        <v>1300</v>
      </c>
      <c r="K31" s="19" t="n">
        <v>234</v>
      </c>
      <c r="L31" s="19" t="n">
        <v>1534</v>
      </c>
      <c r="M31" s="19" t="n">
        <v>1300</v>
      </c>
      <c r="N31" s="16"/>
    </row>
    <row r="32" customFormat="false" ht="15" hidden="false" customHeight="false" outlineLevel="0" collapsed="false">
      <c r="A32" s="16" t="s">
        <v>26</v>
      </c>
      <c r="B32" s="16" t="s">
        <v>128</v>
      </c>
      <c r="C32" s="17" t="n">
        <v>15</v>
      </c>
      <c r="D32" s="16" t="s">
        <v>211</v>
      </c>
      <c r="E32" s="16" t="s">
        <v>212</v>
      </c>
      <c r="F32" s="16" t="s">
        <v>213</v>
      </c>
      <c r="G32" s="18" t="n">
        <v>45997</v>
      </c>
      <c r="H32" s="16" t="s">
        <v>118</v>
      </c>
      <c r="I32" s="16" t="s">
        <v>198</v>
      </c>
      <c r="J32" s="19" t="n">
        <v>1300</v>
      </c>
      <c r="K32" s="19" t="n">
        <v>234</v>
      </c>
      <c r="L32" s="19" t="n">
        <v>1534</v>
      </c>
      <c r="M32" s="19" t="n">
        <v>1300</v>
      </c>
      <c r="N32" s="16"/>
    </row>
    <row r="33" customFormat="false" ht="15" hidden="false" customHeight="false" outlineLevel="0" collapsed="false">
      <c r="A33" s="16" t="s">
        <v>26</v>
      </c>
      <c r="B33" s="16" t="s">
        <v>128</v>
      </c>
      <c r="C33" s="17" t="n">
        <v>16</v>
      </c>
      <c r="D33" s="16" t="s">
        <v>214</v>
      </c>
      <c r="E33" s="16" t="s">
        <v>215</v>
      </c>
      <c r="F33" s="16" t="s">
        <v>216</v>
      </c>
      <c r="G33" s="18" t="n">
        <v>46028</v>
      </c>
      <c r="H33" s="16" t="s">
        <v>118</v>
      </c>
      <c r="I33" s="16" t="s">
        <v>198</v>
      </c>
      <c r="J33" s="19" t="n">
        <v>1300</v>
      </c>
      <c r="K33" s="19" t="n">
        <v>234</v>
      </c>
      <c r="L33" s="19" t="n">
        <v>1534</v>
      </c>
      <c r="M33" s="19" t="n">
        <v>1300</v>
      </c>
      <c r="N33" s="16"/>
    </row>
    <row r="34" customFormat="false" ht="15" hidden="false" customHeight="false" outlineLevel="0" collapsed="false">
      <c r="A34" s="16" t="s">
        <v>26</v>
      </c>
      <c r="B34" s="16" t="s">
        <v>128</v>
      </c>
      <c r="C34" s="17" t="n">
        <v>17</v>
      </c>
      <c r="D34" s="16" t="s">
        <v>217</v>
      </c>
      <c r="E34" s="16" t="s">
        <v>218</v>
      </c>
      <c r="F34" s="16" t="s">
        <v>219</v>
      </c>
      <c r="G34" s="18" t="n">
        <v>46028</v>
      </c>
      <c r="H34" s="16" t="s">
        <v>118</v>
      </c>
      <c r="I34" s="16" t="s">
        <v>198</v>
      </c>
      <c r="J34" s="19" t="n">
        <v>1300</v>
      </c>
      <c r="K34" s="19" t="n">
        <v>234</v>
      </c>
      <c r="L34" s="19" t="n">
        <v>1534</v>
      </c>
      <c r="M34" s="19" t="n">
        <v>1300</v>
      </c>
      <c r="N34" s="16"/>
    </row>
    <row r="35" customFormat="false" ht="15" hidden="false" customHeight="false" outlineLevel="0" collapsed="false">
      <c r="A35" s="16" t="s">
        <v>26</v>
      </c>
      <c r="B35" s="16" t="s">
        <v>128</v>
      </c>
      <c r="C35" s="17" t="n">
        <v>18</v>
      </c>
      <c r="D35" s="16" t="s">
        <v>220</v>
      </c>
      <c r="E35" s="16" t="s">
        <v>221</v>
      </c>
      <c r="F35" s="16" t="s">
        <v>222</v>
      </c>
      <c r="G35" s="18" t="n">
        <v>46059</v>
      </c>
      <c r="H35" s="16" t="s">
        <v>118</v>
      </c>
      <c r="I35" s="16" t="s">
        <v>198</v>
      </c>
      <c r="J35" s="19" t="n">
        <v>1300</v>
      </c>
      <c r="K35" s="19" t="n">
        <v>234</v>
      </c>
      <c r="L35" s="19" t="n">
        <v>1534</v>
      </c>
      <c r="M35" s="19" t="n">
        <v>1300</v>
      </c>
      <c r="N35" s="16"/>
    </row>
    <row r="36" customFormat="false" ht="15" hidden="false" customHeight="false" outlineLevel="0" collapsed="false">
      <c r="A36" s="16" t="s">
        <v>26</v>
      </c>
      <c r="B36" s="16" t="s">
        <v>128</v>
      </c>
      <c r="C36" s="17" t="n">
        <v>19</v>
      </c>
      <c r="D36" s="16" t="s">
        <v>223</v>
      </c>
      <c r="E36" s="16" t="s">
        <v>224</v>
      </c>
      <c r="F36" s="16" t="s">
        <v>225</v>
      </c>
      <c r="G36" s="18" t="n">
        <v>46087</v>
      </c>
      <c r="H36" s="16" t="s">
        <v>118</v>
      </c>
      <c r="I36" s="16" t="s">
        <v>198</v>
      </c>
      <c r="J36" s="19" t="n">
        <v>1300</v>
      </c>
      <c r="K36" s="19" t="n">
        <v>234</v>
      </c>
      <c r="L36" s="19" t="n">
        <v>1534</v>
      </c>
      <c r="M36" s="19" t="n">
        <v>1300</v>
      </c>
      <c r="N36" s="16"/>
    </row>
    <row r="37" customFormat="false" ht="15" hidden="false" customHeight="false" outlineLevel="0" collapsed="false">
      <c r="A37" s="16" t="s">
        <v>26</v>
      </c>
      <c r="B37" s="16" t="s">
        <v>128</v>
      </c>
      <c r="C37" s="17" t="n">
        <v>20</v>
      </c>
      <c r="D37" s="16" t="s">
        <v>226</v>
      </c>
      <c r="E37" s="16" t="s">
        <v>116</v>
      </c>
      <c r="F37" s="16" t="s">
        <v>227</v>
      </c>
      <c r="G37" s="18" t="n">
        <v>46148</v>
      </c>
      <c r="H37" s="16" t="s">
        <v>118</v>
      </c>
      <c r="I37" s="16" t="s">
        <v>85</v>
      </c>
      <c r="J37" s="19" t="n">
        <v>150</v>
      </c>
      <c r="K37" s="19" t="n">
        <v>27</v>
      </c>
      <c r="L37" s="19" t="n">
        <v>177</v>
      </c>
      <c r="M37" s="19" t="n">
        <v>150</v>
      </c>
      <c r="N37" s="16"/>
    </row>
    <row r="38" customFormat="false" ht="15" hidden="false" customHeight="false" outlineLevel="0" collapsed="false">
      <c r="A38" s="16" t="s">
        <v>26</v>
      </c>
      <c r="B38" s="16" t="s">
        <v>128</v>
      </c>
      <c r="C38" s="17" t="n">
        <v>21</v>
      </c>
      <c r="D38" s="16" t="s">
        <v>228</v>
      </c>
      <c r="E38" s="16" t="s">
        <v>122</v>
      </c>
      <c r="F38" s="16" t="s">
        <v>229</v>
      </c>
      <c r="G38" s="18" t="n">
        <v>46148</v>
      </c>
      <c r="H38" s="16" t="s">
        <v>118</v>
      </c>
      <c r="I38" s="16" t="s">
        <v>93</v>
      </c>
      <c r="J38" s="19" t="n">
        <v>4500</v>
      </c>
      <c r="K38" s="19" t="n">
        <v>810</v>
      </c>
      <c r="L38" s="19" t="n">
        <v>5310</v>
      </c>
      <c r="M38" s="19" t="n">
        <v>4500</v>
      </c>
      <c r="N38" s="16"/>
    </row>
    <row r="39" customFormat="false" ht="15" hidden="false" customHeight="false" outlineLevel="0" collapsed="false">
      <c r="A39" s="16" t="s">
        <v>26</v>
      </c>
      <c r="B39" s="16" t="s">
        <v>128</v>
      </c>
      <c r="C39" s="17" t="n">
        <v>22</v>
      </c>
      <c r="D39" s="16" t="s">
        <v>230</v>
      </c>
      <c r="E39" s="16" t="s">
        <v>126</v>
      </c>
      <c r="F39" s="16" t="s">
        <v>231</v>
      </c>
      <c r="G39" s="18" t="n">
        <v>46148</v>
      </c>
      <c r="H39" s="16" t="s">
        <v>118</v>
      </c>
      <c r="I39" s="16" t="s">
        <v>232</v>
      </c>
      <c r="J39" s="19" t="n">
        <v>648</v>
      </c>
      <c r="K39" s="19" t="n">
        <v>116.64</v>
      </c>
      <c r="L39" s="19" t="n">
        <v>764.64</v>
      </c>
      <c r="M39" s="19" t="n">
        <v>648</v>
      </c>
      <c r="N39" s="16"/>
    </row>
    <row r="40" customFormat="false" ht="15" hidden="false" customHeight="false" outlineLevel="0" collapsed="false">
      <c r="A40" s="16" t="s">
        <v>26</v>
      </c>
      <c r="B40" s="16" t="s">
        <v>128</v>
      </c>
      <c r="C40" s="17" t="n">
        <v>23</v>
      </c>
      <c r="D40" s="16" t="s">
        <v>233</v>
      </c>
      <c r="E40" s="16" t="s">
        <v>130</v>
      </c>
      <c r="F40" s="16" t="s">
        <v>234</v>
      </c>
      <c r="G40" s="18" t="n">
        <v>46148</v>
      </c>
      <c r="H40" s="16" t="s">
        <v>118</v>
      </c>
      <c r="I40" s="16" t="s">
        <v>132</v>
      </c>
      <c r="J40" s="19" t="n">
        <v>30</v>
      </c>
      <c r="K40" s="19" t="n">
        <v>5.4</v>
      </c>
      <c r="L40" s="19" t="n">
        <v>35.4</v>
      </c>
      <c r="M40" s="19" t="n">
        <v>30</v>
      </c>
      <c r="N40" s="16"/>
    </row>
    <row r="41" customFormat="false" ht="15" hidden="false" customHeight="false" outlineLevel="0" collapsed="false">
      <c r="A41" s="16" t="s">
        <v>26</v>
      </c>
      <c r="B41" s="16" t="s">
        <v>128</v>
      </c>
      <c r="C41" s="17" t="n">
        <v>24</v>
      </c>
      <c r="D41" s="16" t="s">
        <v>235</v>
      </c>
      <c r="E41" s="16" t="s">
        <v>134</v>
      </c>
      <c r="F41" s="16" t="s">
        <v>236</v>
      </c>
      <c r="G41" s="18" t="n">
        <v>46149</v>
      </c>
      <c r="H41" s="16" t="s">
        <v>118</v>
      </c>
      <c r="I41" s="16" t="s">
        <v>237</v>
      </c>
      <c r="J41" s="19" t="n">
        <v>727.93</v>
      </c>
      <c r="K41" s="19" t="n">
        <v>0</v>
      </c>
      <c r="L41" s="19" t="n">
        <v>727.93</v>
      </c>
      <c r="M41" s="19" t="n">
        <v>727.93</v>
      </c>
      <c r="N41" s="16"/>
    </row>
    <row r="42" customFormat="false" ht="15" hidden="false" customHeight="false" outlineLevel="0" collapsed="false">
      <c r="A42" s="16" t="s">
        <v>26</v>
      </c>
      <c r="B42" s="16" t="s">
        <v>128</v>
      </c>
      <c r="C42" s="17" t="n">
        <v>25</v>
      </c>
      <c r="D42" s="16" t="s">
        <v>238</v>
      </c>
      <c r="E42" s="16" t="s">
        <v>138</v>
      </c>
      <c r="F42" s="16" t="s">
        <v>239</v>
      </c>
      <c r="G42" s="18" t="n">
        <v>46149</v>
      </c>
      <c r="H42" s="16" t="s">
        <v>118</v>
      </c>
      <c r="I42" s="16" t="s">
        <v>240</v>
      </c>
      <c r="J42" s="19" t="n">
        <v>1050.1</v>
      </c>
      <c r="K42" s="19" t="n">
        <v>0</v>
      </c>
      <c r="L42" s="19" t="n">
        <v>1050.1</v>
      </c>
      <c r="M42" s="19" t="n">
        <v>1050.1</v>
      </c>
      <c r="N42" s="16"/>
    </row>
    <row r="43" customFormat="false" ht="15" hidden="false" customHeight="false" outlineLevel="0" collapsed="false">
      <c r="A43" s="16" t="s">
        <v>26</v>
      </c>
      <c r="B43" s="16" t="s">
        <v>128</v>
      </c>
      <c r="C43" s="17" t="n">
        <v>26</v>
      </c>
      <c r="D43" s="16" t="s">
        <v>241</v>
      </c>
      <c r="E43" s="16" t="s">
        <v>142</v>
      </c>
      <c r="F43" s="16" t="s">
        <v>242</v>
      </c>
      <c r="G43" s="18" t="n">
        <v>46156</v>
      </c>
      <c r="H43" s="16" t="s">
        <v>118</v>
      </c>
      <c r="I43" s="16" t="s">
        <v>243</v>
      </c>
      <c r="J43" s="19" t="n">
        <v>926</v>
      </c>
      <c r="K43" s="19" t="n">
        <v>0</v>
      </c>
      <c r="L43" s="19" t="n">
        <v>926</v>
      </c>
      <c r="M43" s="19" t="n">
        <v>926</v>
      </c>
      <c r="N43" s="16"/>
    </row>
    <row r="44" customFormat="false" ht="15" hidden="false" customHeight="false" outlineLevel="0" collapsed="false">
      <c r="A44" s="16" t="s">
        <v>26</v>
      </c>
      <c r="B44" s="16" t="s">
        <v>128</v>
      </c>
      <c r="C44" s="17" t="n">
        <v>27</v>
      </c>
      <c r="D44" s="16" t="s">
        <v>244</v>
      </c>
      <c r="E44" s="16" t="s">
        <v>145</v>
      </c>
      <c r="F44" s="16" t="s">
        <v>245</v>
      </c>
      <c r="G44" s="18" t="n">
        <v>46156</v>
      </c>
      <c r="H44" s="16" t="s">
        <v>118</v>
      </c>
      <c r="I44" s="16" t="s">
        <v>246</v>
      </c>
      <c r="J44" s="19" t="n">
        <v>950</v>
      </c>
      <c r="K44" s="19" t="n">
        <v>171</v>
      </c>
      <c r="L44" s="19" t="n">
        <v>1121</v>
      </c>
      <c r="M44" s="19" t="n">
        <v>950</v>
      </c>
      <c r="N44" s="20" t="s">
        <v>164</v>
      </c>
    </row>
    <row r="45" customFormat="false" ht="15" hidden="false" customHeight="false" outlineLevel="0" collapsed="false">
      <c r="A45" s="16" t="s">
        <v>26</v>
      </c>
      <c r="B45" s="16" t="s">
        <v>128</v>
      </c>
      <c r="C45" s="17" t="n">
        <v>28</v>
      </c>
      <c r="D45" s="16" t="s">
        <v>247</v>
      </c>
      <c r="E45" s="16" t="s">
        <v>150</v>
      </c>
      <c r="F45" s="16" t="s">
        <v>248</v>
      </c>
      <c r="G45" s="18" t="n">
        <v>46113</v>
      </c>
      <c r="H45" s="16" t="s">
        <v>118</v>
      </c>
      <c r="I45" s="16" t="s">
        <v>158</v>
      </c>
      <c r="J45" s="19" t="n">
        <v>3500</v>
      </c>
      <c r="K45" s="19" t="n">
        <v>630</v>
      </c>
      <c r="L45" s="19" t="n">
        <v>4130</v>
      </c>
      <c r="M45" s="19" t="n">
        <v>3500</v>
      </c>
      <c r="N45" s="20" t="s">
        <v>164</v>
      </c>
    </row>
    <row r="46" customFormat="false" ht="15" hidden="false" customHeight="false" outlineLevel="0" collapsed="false">
      <c r="A46" s="16" t="s">
        <v>26</v>
      </c>
      <c r="B46" s="16" t="s">
        <v>128</v>
      </c>
      <c r="C46" s="17" t="n">
        <v>30</v>
      </c>
      <c r="D46" s="16" t="s">
        <v>249</v>
      </c>
      <c r="E46" s="16" t="s">
        <v>161</v>
      </c>
      <c r="F46" s="16" t="s">
        <v>250</v>
      </c>
      <c r="G46" s="18" t="n">
        <v>46178</v>
      </c>
      <c r="H46" s="16" t="s">
        <v>118</v>
      </c>
      <c r="I46" s="16" t="s">
        <v>93</v>
      </c>
      <c r="J46" s="19" t="n">
        <v>473.14</v>
      </c>
      <c r="K46" s="19" t="n">
        <v>85.17</v>
      </c>
      <c r="L46" s="19" t="n">
        <v>558.31</v>
      </c>
      <c r="M46" s="19" t="n">
        <v>473.14</v>
      </c>
      <c r="N46" s="16"/>
    </row>
    <row r="47" customFormat="false" ht="15" hidden="false" customHeight="false" outlineLevel="0" collapsed="false">
      <c r="A47" s="16" t="s">
        <v>26</v>
      </c>
      <c r="B47" s="16" t="s">
        <v>128</v>
      </c>
      <c r="C47" s="17" t="n">
        <v>31</v>
      </c>
      <c r="D47" s="16" t="s">
        <v>251</v>
      </c>
      <c r="E47" s="16" t="s">
        <v>166</v>
      </c>
      <c r="F47" s="16" t="s">
        <v>252</v>
      </c>
      <c r="G47" s="18" t="n">
        <v>46179</v>
      </c>
      <c r="H47" s="16" t="s">
        <v>118</v>
      </c>
      <c r="I47" s="16" t="s">
        <v>93</v>
      </c>
      <c r="J47" s="19" t="n">
        <v>50</v>
      </c>
      <c r="K47" s="19" t="n">
        <v>9</v>
      </c>
      <c r="L47" s="19" t="n">
        <v>59</v>
      </c>
      <c r="M47" s="19" t="n">
        <v>50</v>
      </c>
      <c r="N47" s="16"/>
    </row>
    <row r="48" customFormat="false" ht="15" hidden="false" customHeight="false" outlineLevel="0" collapsed="false">
      <c r="A48" s="16" t="s">
        <v>26</v>
      </c>
      <c r="B48" s="16" t="s">
        <v>128</v>
      </c>
      <c r="C48" s="17" t="n">
        <v>32</v>
      </c>
      <c r="D48" s="16" t="s">
        <v>253</v>
      </c>
      <c r="E48" s="16" t="s">
        <v>171</v>
      </c>
      <c r="F48" s="16" t="s">
        <v>254</v>
      </c>
      <c r="G48" s="18" t="n">
        <v>46198</v>
      </c>
      <c r="H48" s="16" t="s">
        <v>118</v>
      </c>
      <c r="I48" s="16" t="s">
        <v>93</v>
      </c>
      <c r="J48" s="19" t="n">
        <v>4500</v>
      </c>
      <c r="K48" s="19" t="n">
        <v>810</v>
      </c>
      <c r="L48" s="19" t="n">
        <v>5310</v>
      </c>
      <c r="M48" s="19" t="n">
        <v>4500</v>
      </c>
      <c r="N48" s="16"/>
    </row>
    <row r="49" customFormat="false" ht="15" hidden="false" customHeight="false" outlineLevel="0" collapsed="false">
      <c r="A49" s="16" t="s">
        <v>26</v>
      </c>
      <c r="B49" s="16" t="s">
        <v>128</v>
      </c>
      <c r="C49" s="17" t="n">
        <v>33</v>
      </c>
      <c r="D49" s="16" t="s">
        <v>255</v>
      </c>
      <c r="E49" s="16" t="s">
        <v>256</v>
      </c>
      <c r="F49" s="16" t="s">
        <v>257</v>
      </c>
      <c r="G49" s="18" t="n">
        <v>46206</v>
      </c>
      <c r="H49" s="16" t="s">
        <v>118</v>
      </c>
      <c r="I49" s="16" t="s">
        <v>93</v>
      </c>
      <c r="J49" s="19" t="n">
        <v>50</v>
      </c>
      <c r="K49" s="19" t="n">
        <v>9</v>
      </c>
      <c r="L49" s="19" t="n">
        <v>59</v>
      </c>
      <c r="M49" s="19" t="n">
        <v>50</v>
      </c>
      <c r="N49" s="16"/>
    </row>
    <row r="50" customFormat="false" ht="15" hidden="false" customHeight="false" outlineLevel="0" collapsed="false">
      <c r="A50" s="16" t="s">
        <v>26</v>
      </c>
      <c r="B50" s="16" t="s">
        <v>128</v>
      </c>
      <c r="C50" s="17" t="n">
        <v>34</v>
      </c>
      <c r="D50" s="16" t="s">
        <v>258</v>
      </c>
      <c r="E50" s="16" t="s">
        <v>175</v>
      </c>
      <c r="F50" s="16" t="s">
        <v>259</v>
      </c>
      <c r="G50" s="18" t="n">
        <v>46206</v>
      </c>
      <c r="H50" s="16" t="s">
        <v>118</v>
      </c>
      <c r="I50" s="16" t="s">
        <v>93</v>
      </c>
      <c r="J50" s="19" t="n">
        <v>1253.28</v>
      </c>
      <c r="K50" s="19" t="n">
        <v>225.59</v>
      </c>
      <c r="L50" s="19" t="n">
        <v>1478.87</v>
      </c>
      <c r="M50" s="19" t="n">
        <v>1253.28</v>
      </c>
      <c r="N50" s="16"/>
    </row>
    <row r="51" customFormat="false" ht="15" hidden="false" customHeight="false" outlineLevel="0" collapsed="false">
      <c r="A51" s="16" t="s">
        <v>26</v>
      </c>
      <c r="B51" s="16" t="s">
        <v>128</v>
      </c>
      <c r="C51" s="17" t="n">
        <v>35</v>
      </c>
      <c r="D51" s="16" t="s">
        <v>260</v>
      </c>
      <c r="E51" s="16" t="s">
        <v>178</v>
      </c>
      <c r="F51" s="16" t="s">
        <v>261</v>
      </c>
      <c r="G51" s="18" t="n">
        <v>46199</v>
      </c>
      <c r="H51" s="16" t="s">
        <v>118</v>
      </c>
      <c r="I51" s="16" t="s">
        <v>262</v>
      </c>
      <c r="J51" s="19" t="n">
        <v>27.03</v>
      </c>
      <c r="K51" s="19" t="n">
        <v>4.87</v>
      </c>
      <c r="L51" s="19" t="n">
        <v>31.9</v>
      </c>
      <c r="M51" s="19" t="n">
        <v>27.03</v>
      </c>
      <c r="N51" s="16"/>
    </row>
    <row r="52" customFormat="false" ht="15" hidden="false" customHeight="false" outlineLevel="0" collapsed="false">
      <c r="A52" s="16" t="s">
        <v>26</v>
      </c>
      <c r="B52" s="16" t="s">
        <v>128</v>
      </c>
      <c r="C52" s="17" t="n">
        <v>36</v>
      </c>
      <c r="D52" s="16" t="s">
        <v>263</v>
      </c>
      <c r="E52" s="16" t="s">
        <v>181</v>
      </c>
      <c r="F52" s="16" t="s">
        <v>264</v>
      </c>
      <c r="G52" s="18" t="n">
        <v>46196</v>
      </c>
      <c r="H52" s="16" t="s">
        <v>118</v>
      </c>
      <c r="I52" s="16" t="s">
        <v>265</v>
      </c>
      <c r="J52" s="19" t="n">
        <v>120</v>
      </c>
      <c r="K52" s="19" t="n">
        <v>21.6</v>
      </c>
      <c r="L52" s="19" t="n">
        <v>141.6</v>
      </c>
      <c r="M52" s="19" t="n">
        <v>120</v>
      </c>
      <c r="N52" s="20" t="s">
        <v>164</v>
      </c>
    </row>
    <row r="53" customFormat="false" ht="15" hidden="false" customHeight="false" outlineLevel="0" collapsed="false">
      <c r="A53" s="16" t="s">
        <v>26</v>
      </c>
      <c r="B53" s="16" t="s">
        <v>128</v>
      </c>
      <c r="C53" s="17" t="n">
        <v>37</v>
      </c>
      <c r="D53" s="16" t="s">
        <v>266</v>
      </c>
      <c r="E53" s="16" t="s">
        <v>184</v>
      </c>
      <c r="F53" s="16" t="s">
        <v>267</v>
      </c>
      <c r="G53" s="18" t="n">
        <v>46199</v>
      </c>
      <c r="H53" s="16" t="s">
        <v>118</v>
      </c>
      <c r="I53" s="16" t="s">
        <v>97</v>
      </c>
      <c r="J53" s="19" t="n">
        <v>400</v>
      </c>
      <c r="K53" s="19" t="n">
        <v>72</v>
      </c>
      <c r="L53" s="19" t="n">
        <v>472</v>
      </c>
      <c r="M53" s="19" t="n">
        <v>400</v>
      </c>
      <c r="N53" s="16"/>
    </row>
    <row r="54" customFormat="false" ht="15" hidden="false" customHeight="false" outlineLevel="0" collapsed="false">
      <c r="A54" s="16" t="s">
        <v>26</v>
      </c>
      <c r="B54" s="16" t="s">
        <v>128</v>
      </c>
      <c r="C54" s="17" t="n">
        <v>38</v>
      </c>
      <c r="D54" s="16" t="s">
        <v>268</v>
      </c>
      <c r="E54" s="16" t="s">
        <v>187</v>
      </c>
      <c r="F54" s="16" t="s">
        <v>269</v>
      </c>
      <c r="G54" s="18" t="n">
        <v>46223</v>
      </c>
      <c r="H54" s="16" t="s">
        <v>118</v>
      </c>
      <c r="I54" s="16" t="s">
        <v>69</v>
      </c>
      <c r="J54" s="19" t="n">
        <v>1850</v>
      </c>
      <c r="K54" s="19" t="n">
        <v>333</v>
      </c>
      <c r="L54" s="19" t="n">
        <v>2183</v>
      </c>
      <c r="M54" s="19" t="n">
        <v>1850</v>
      </c>
      <c r="N54" s="16"/>
    </row>
    <row r="55" customFormat="false" ht="15" hidden="false" customHeight="false" outlineLevel="0" collapsed="false">
      <c r="A55" s="16" t="s">
        <v>26</v>
      </c>
      <c r="B55" s="16" t="s">
        <v>128</v>
      </c>
      <c r="C55" s="17" t="n">
        <v>39</v>
      </c>
      <c r="D55" s="16" t="s">
        <v>270</v>
      </c>
      <c r="E55" s="16" t="s">
        <v>190</v>
      </c>
      <c r="F55" s="16" t="s">
        <v>271</v>
      </c>
      <c r="G55" s="18" t="n">
        <v>46223</v>
      </c>
      <c r="H55" s="16" t="s">
        <v>118</v>
      </c>
      <c r="I55" s="16" t="s">
        <v>93</v>
      </c>
      <c r="J55" s="19" t="n">
        <v>2250</v>
      </c>
      <c r="K55" s="19" t="n">
        <v>405</v>
      </c>
      <c r="L55" s="19" t="n">
        <v>2655</v>
      </c>
      <c r="M55" s="19" t="n">
        <v>2250</v>
      </c>
      <c r="N55" s="16"/>
    </row>
    <row r="56" customFormat="false" ht="15" hidden="false" customHeight="false" outlineLevel="0" collapsed="false">
      <c r="A56" s="16" t="s">
        <v>26</v>
      </c>
      <c r="B56" s="16" t="s">
        <v>128</v>
      </c>
      <c r="C56" s="17" t="n">
        <v>40</v>
      </c>
      <c r="D56" s="16" t="s">
        <v>272</v>
      </c>
      <c r="E56" s="16" t="s">
        <v>193</v>
      </c>
      <c r="F56" s="16" t="s">
        <v>273</v>
      </c>
      <c r="G56" s="18" t="n">
        <v>46225</v>
      </c>
      <c r="H56" s="16" t="s">
        <v>118</v>
      </c>
      <c r="I56" s="16" t="s">
        <v>56</v>
      </c>
      <c r="J56" s="19" t="n">
        <v>700</v>
      </c>
      <c r="K56" s="19" t="n">
        <v>126</v>
      </c>
      <c r="L56" s="19" t="n">
        <v>826</v>
      </c>
      <c r="M56" s="19" t="n">
        <v>700</v>
      </c>
      <c r="N56" s="16"/>
    </row>
    <row r="57" customFormat="false" ht="15" hidden="false" customHeight="false" outlineLevel="0" collapsed="false">
      <c r="A57" s="16" t="s">
        <v>26</v>
      </c>
      <c r="B57" s="16" t="s">
        <v>128</v>
      </c>
      <c r="C57" s="17" t="n">
        <v>41</v>
      </c>
      <c r="D57" s="16" t="s">
        <v>274</v>
      </c>
      <c r="E57" s="16" t="s">
        <v>275</v>
      </c>
      <c r="F57" s="16" t="s">
        <v>276</v>
      </c>
      <c r="G57" s="18" t="n">
        <v>46225</v>
      </c>
      <c r="H57" s="16" t="s">
        <v>118</v>
      </c>
      <c r="I57" s="16" t="s">
        <v>277</v>
      </c>
      <c r="J57" s="19" t="n">
        <v>98.93</v>
      </c>
      <c r="K57" s="19" t="n">
        <v>0</v>
      </c>
      <c r="L57" s="19" t="n">
        <v>98.93</v>
      </c>
      <c r="M57" s="19" t="n">
        <v>98.93</v>
      </c>
      <c r="N57" s="16"/>
    </row>
    <row r="58" customFormat="false" ht="15" hidden="false" customHeight="false" outlineLevel="0" collapsed="false">
      <c r="A58" s="16" t="s">
        <v>26</v>
      </c>
      <c r="B58" s="16" t="s">
        <v>128</v>
      </c>
      <c r="C58" s="17" t="n">
        <v>42</v>
      </c>
      <c r="D58" s="16" t="s">
        <v>278</v>
      </c>
      <c r="E58" s="16" t="s">
        <v>279</v>
      </c>
      <c r="F58" s="16" t="s">
        <v>280</v>
      </c>
      <c r="G58" s="18" t="n">
        <v>46221</v>
      </c>
      <c r="H58" s="16" t="s">
        <v>118</v>
      </c>
      <c r="I58" s="16" t="s">
        <v>62</v>
      </c>
      <c r="J58" s="19" t="n">
        <v>230</v>
      </c>
      <c r="K58" s="19" t="n">
        <v>41.4</v>
      </c>
      <c r="L58" s="19" t="n">
        <v>271.4</v>
      </c>
      <c r="M58" s="19" t="n">
        <v>230</v>
      </c>
      <c r="N58" s="20" t="s">
        <v>156</v>
      </c>
    </row>
    <row r="59" customFormat="false" ht="15" hidden="false" customHeight="false" outlineLevel="0" collapsed="false">
      <c r="A59" s="16" t="s">
        <v>26</v>
      </c>
      <c r="B59" s="16" t="s">
        <v>128</v>
      </c>
      <c r="C59" s="17" t="n">
        <v>42</v>
      </c>
      <c r="D59" s="16" t="s">
        <v>278</v>
      </c>
      <c r="E59" s="16" t="s">
        <v>279</v>
      </c>
      <c r="F59" s="16" t="s">
        <v>281</v>
      </c>
      <c r="G59" s="18" t="n">
        <v>46232</v>
      </c>
      <c r="H59" s="16" t="s">
        <v>118</v>
      </c>
      <c r="I59" s="16" t="s">
        <v>262</v>
      </c>
      <c r="J59" s="19" t="n">
        <v>50.76</v>
      </c>
      <c r="K59" s="19" t="n">
        <v>9.14</v>
      </c>
      <c r="L59" s="19" t="n">
        <v>59.9</v>
      </c>
      <c r="M59" s="19" t="n">
        <v>50.76</v>
      </c>
      <c r="N59" s="20" t="s">
        <v>156</v>
      </c>
    </row>
    <row r="60" customFormat="false" ht="15" hidden="false" customHeight="false" outlineLevel="0" collapsed="false">
      <c r="A60" s="16" t="s">
        <v>26</v>
      </c>
      <c r="B60" s="16" t="s">
        <v>128</v>
      </c>
      <c r="C60" s="17" t="n">
        <v>43</v>
      </c>
      <c r="D60" s="16" t="s">
        <v>282</v>
      </c>
      <c r="E60" s="16" t="s">
        <v>283</v>
      </c>
      <c r="F60" s="16" t="s">
        <v>284</v>
      </c>
      <c r="G60" s="18" t="n">
        <v>46221</v>
      </c>
      <c r="H60" s="16" t="s">
        <v>118</v>
      </c>
      <c r="I60" s="16" t="s">
        <v>62</v>
      </c>
      <c r="J60" s="19" t="n">
        <v>55</v>
      </c>
      <c r="K60" s="19" t="n">
        <v>9.9</v>
      </c>
      <c r="L60" s="19" t="n">
        <v>64.9</v>
      </c>
      <c r="M60" s="19" t="n">
        <v>55</v>
      </c>
      <c r="N60" s="16"/>
    </row>
    <row r="61" customFormat="false" ht="15" hidden="false" customHeight="false" outlineLevel="0" collapsed="false">
      <c r="A61" s="16" t="s">
        <v>26</v>
      </c>
      <c r="B61" s="16" t="s">
        <v>128</v>
      </c>
      <c r="C61" s="17" t="n">
        <v>44</v>
      </c>
      <c r="D61" s="16" t="s">
        <v>285</v>
      </c>
      <c r="E61" s="16" t="s">
        <v>286</v>
      </c>
      <c r="F61" s="16" t="s">
        <v>287</v>
      </c>
      <c r="G61" s="18" t="n">
        <v>46235</v>
      </c>
      <c r="H61" s="16" t="s">
        <v>118</v>
      </c>
      <c r="I61" s="16" t="s">
        <v>93</v>
      </c>
      <c r="J61" s="19" t="n">
        <v>1215.2</v>
      </c>
      <c r="K61" s="19" t="n">
        <v>218.74</v>
      </c>
      <c r="L61" s="19" t="n">
        <v>1433.94</v>
      </c>
      <c r="M61" s="19" t="n">
        <v>1215.2</v>
      </c>
      <c r="N61" s="16"/>
    </row>
    <row r="62" customFormat="false" ht="15" hidden="false" customHeight="false" outlineLevel="0" collapsed="false">
      <c r="A62" s="16" t="s">
        <v>26</v>
      </c>
      <c r="B62" s="16" t="s">
        <v>128</v>
      </c>
      <c r="C62" s="17" t="n">
        <v>45</v>
      </c>
      <c r="D62" s="16" t="s">
        <v>288</v>
      </c>
      <c r="E62" s="16" t="s">
        <v>289</v>
      </c>
      <c r="F62" s="16" t="s">
        <v>290</v>
      </c>
      <c r="G62" s="18" t="n">
        <v>46235</v>
      </c>
      <c r="H62" s="16" t="s">
        <v>118</v>
      </c>
      <c r="I62" s="16" t="s">
        <v>93</v>
      </c>
      <c r="J62" s="19" t="n">
        <v>4500</v>
      </c>
      <c r="K62" s="19" t="n">
        <v>810</v>
      </c>
      <c r="L62" s="19" t="n">
        <v>5310</v>
      </c>
      <c r="M62" s="19" t="n">
        <v>4500</v>
      </c>
      <c r="N62" s="16"/>
    </row>
    <row r="63" customFormat="false" ht="15" hidden="false" customHeight="false" outlineLevel="0" collapsed="false">
      <c r="A63" s="16" t="s">
        <v>26</v>
      </c>
      <c r="B63" s="16" t="s">
        <v>128</v>
      </c>
      <c r="C63" s="17" t="n">
        <v>46</v>
      </c>
      <c r="D63" s="16" t="s">
        <v>291</v>
      </c>
      <c r="E63" s="16" t="s">
        <v>292</v>
      </c>
      <c r="F63" s="16" t="s">
        <v>293</v>
      </c>
      <c r="G63" s="18" t="n">
        <v>46235</v>
      </c>
      <c r="H63" s="16" t="s">
        <v>118</v>
      </c>
      <c r="I63" s="16" t="s">
        <v>93</v>
      </c>
      <c r="J63" s="19" t="n">
        <v>50</v>
      </c>
      <c r="K63" s="19" t="n">
        <v>9</v>
      </c>
      <c r="L63" s="19" t="n">
        <v>59</v>
      </c>
      <c r="M63" s="19" t="n">
        <v>50</v>
      </c>
      <c r="N63" s="16"/>
    </row>
    <row r="64" customFormat="false" ht="15" hidden="false" customHeight="false" outlineLevel="0" collapsed="false">
      <c r="A64" s="16" t="s">
        <v>33</v>
      </c>
      <c r="B64" s="16" t="s">
        <v>114</v>
      </c>
      <c r="C64" s="17" t="n">
        <v>24</v>
      </c>
      <c r="D64" s="16" t="s">
        <v>294</v>
      </c>
      <c r="E64" s="16" t="s">
        <v>295</v>
      </c>
      <c r="F64" s="16" t="s">
        <v>296</v>
      </c>
      <c r="G64" s="18" t="n">
        <v>44193</v>
      </c>
      <c r="H64" s="16" t="s">
        <v>297</v>
      </c>
      <c r="I64" s="16" t="s">
        <v>78</v>
      </c>
      <c r="J64" s="19" t="n">
        <v>12652</v>
      </c>
      <c r="K64" s="19" t="n">
        <v>2277.36</v>
      </c>
      <c r="L64" s="19" t="n">
        <v>14929.36</v>
      </c>
      <c r="M64" s="19" t="n">
        <v>0</v>
      </c>
      <c r="N64" s="20" t="s">
        <v>298</v>
      </c>
    </row>
    <row r="65" customFormat="false" ht="15" hidden="false" customHeight="false" outlineLevel="0" collapsed="false">
      <c r="A65" s="16" t="s">
        <v>33</v>
      </c>
      <c r="B65" s="16" t="s">
        <v>114</v>
      </c>
      <c r="C65" s="17" t="n">
        <v>27</v>
      </c>
      <c r="D65" s="16" t="s">
        <v>299</v>
      </c>
      <c r="E65" s="16" t="s">
        <v>300</v>
      </c>
      <c r="F65" s="16" t="s">
        <v>301</v>
      </c>
      <c r="G65" s="18" t="n">
        <v>44201</v>
      </c>
      <c r="H65" s="16" t="s">
        <v>297</v>
      </c>
      <c r="I65" s="16" t="s">
        <v>91</v>
      </c>
      <c r="J65" s="19" t="n">
        <v>7400</v>
      </c>
      <c r="K65" s="19" t="n">
        <v>1332</v>
      </c>
      <c r="L65" s="19" t="n">
        <v>8732</v>
      </c>
      <c r="M65" s="19" t="n">
        <v>7400</v>
      </c>
      <c r="N65" s="16"/>
    </row>
    <row r="66" customFormat="false" ht="15" hidden="false" customHeight="false" outlineLevel="0" collapsed="false">
      <c r="A66" s="16" t="s">
        <v>33</v>
      </c>
      <c r="B66" s="16" t="s">
        <v>114</v>
      </c>
      <c r="C66" s="17" t="n">
        <v>28</v>
      </c>
      <c r="D66" s="16" t="s">
        <v>302</v>
      </c>
      <c r="E66" s="16" t="s">
        <v>303</v>
      </c>
      <c r="F66" s="16" t="s">
        <v>304</v>
      </c>
      <c r="G66" s="18" t="n">
        <v>44209</v>
      </c>
      <c r="H66" s="16" t="s">
        <v>297</v>
      </c>
      <c r="I66" s="16" t="s">
        <v>91</v>
      </c>
      <c r="J66" s="19" t="n">
        <v>1878</v>
      </c>
      <c r="K66" s="19" t="n">
        <v>338.04</v>
      </c>
      <c r="L66" s="19" t="n">
        <v>2216.04</v>
      </c>
      <c r="M66" s="19" t="n">
        <v>1878</v>
      </c>
      <c r="N66" s="16"/>
    </row>
    <row r="67" customFormat="false" ht="15" hidden="false" customHeight="false" outlineLevel="0" collapsed="false">
      <c r="A67" s="16" t="s">
        <v>33</v>
      </c>
      <c r="B67" s="16" t="s">
        <v>114</v>
      </c>
      <c r="C67" s="17" t="n">
        <v>29</v>
      </c>
      <c r="D67" s="16" t="s">
        <v>305</v>
      </c>
      <c r="E67" s="16" t="s">
        <v>306</v>
      </c>
      <c r="F67" s="16" t="s">
        <v>307</v>
      </c>
      <c r="G67" s="18" t="n">
        <v>44211</v>
      </c>
      <c r="H67" s="16" t="s">
        <v>297</v>
      </c>
      <c r="I67" s="16" t="s">
        <v>91</v>
      </c>
      <c r="J67" s="19" t="n">
        <v>3924</v>
      </c>
      <c r="K67" s="19" t="n">
        <v>706.32</v>
      </c>
      <c r="L67" s="19" t="n">
        <v>4630.32</v>
      </c>
      <c r="M67" s="19" t="n">
        <v>3924</v>
      </c>
      <c r="N67" s="16"/>
    </row>
    <row r="68" customFormat="false" ht="15" hidden="false" customHeight="false" outlineLevel="0" collapsed="false">
      <c r="A68" s="16" t="s">
        <v>33</v>
      </c>
      <c r="B68" s="16" t="s">
        <v>114</v>
      </c>
      <c r="C68" s="17" t="n">
        <v>30</v>
      </c>
      <c r="D68" s="16" t="s">
        <v>308</v>
      </c>
      <c r="E68" s="16" t="s">
        <v>309</v>
      </c>
      <c r="F68" s="16" t="s">
        <v>310</v>
      </c>
      <c r="G68" s="18" t="n">
        <v>44191</v>
      </c>
      <c r="H68" s="16" t="s">
        <v>297</v>
      </c>
      <c r="I68" s="16" t="s">
        <v>92</v>
      </c>
      <c r="J68" s="19" t="n">
        <v>0</v>
      </c>
      <c r="K68" s="19" t="n">
        <v>0</v>
      </c>
      <c r="L68" s="19" t="n">
        <v>0</v>
      </c>
      <c r="M68" s="19" t="n">
        <v>0</v>
      </c>
      <c r="N68" s="20" t="s">
        <v>311</v>
      </c>
    </row>
    <row r="69" customFormat="false" ht="15" hidden="false" customHeight="false" outlineLevel="0" collapsed="false">
      <c r="A69" s="16" t="s">
        <v>33</v>
      </c>
      <c r="B69" s="16" t="s">
        <v>114</v>
      </c>
      <c r="C69" s="17" t="n">
        <v>31</v>
      </c>
      <c r="D69" s="16" t="s">
        <v>312</v>
      </c>
      <c r="E69" s="16" t="s">
        <v>313</v>
      </c>
      <c r="F69" s="16" t="s">
        <v>314</v>
      </c>
      <c r="G69" s="18" t="n">
        <v>44211</v>
      </c>
      <c r="H69" s="16" t="s">
        <v>297</v>
      </c>
      <c r="I69" s="16" t="s">
        <v>91</v>
      </c>
      <c r="J69" s="19" t="n">
        <v>2304</v>
      </c>
      <c r="K69" s="19" t="n">
        <v>414.72</v>
      </c>
      <c r="L69" s="19" t="n">
        <v>2718.72</v>
      </c>
      <c r="M69" s="19" t="n">
        <v>2304</v>
      </c>
      <c r="N69" s="16"/>
    </row>
  </sheetData>
  <autoFilter ref="A5:N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6"/>
  </cols>
  <sheetData>
    <row r="1" customFormat="false" ht="24" hidden="false" customHeight="true" outlineLevel="0" collapsed="false">
      <c r="E1" s="25" t="s">
        <v>315</v>
      </c>
      <c r="F1" s="25"/>
      <c r="G1" s="25"/>
    </row>
    <row r="2" customFormat="false" ht="15.75" hidden="false" customHeight="true" outlineLevel="0" collapsed="false">
      <c r="E2" s="26" t="s">
        <v>100</v>
      </c>
      <c r="F2" s="27" t="s">
        <v>17</v>
      </c>
      <c r="G2" s="28" t="s">
        <v>26</v>
      </c>
    </row>
    <row r="3" customFormat="false" ht="15.75" hidden="false" customHeight="true" outlineLevel="0" collapsed="false">
      <c r="E3" s="26" t="s">
        <v>102</v>
      </c>
      <c r="G3" s="29" t="n">
        <v>39</v>
      </c>
    </row>
    <row r="4" customFormat="false" ht="15" hidden="false" customHeight="false" outlineLevel="0" collapsed="false">
      <c r="E4" s="26" t="s">
        <v>106</v>
      </c>
      <c r="G4" s="30" t="n">
        <v>46189</v>
      </c>
    </row>
    <row r="5" customFormat="false" ht="15" hidden="false" customHeight="false" outlineLevel="0" collapsed="false">
      <c r="A5" s="31" t="str">
        <f aca="false">INDEX(Empresas!$A$2:$G$4,MATCH($G$2,Empresas!$A$2:$A$4,0),2)</f>
        <v>BMG DESARROLLADORA INMOBILIARIA S.A.C.</v>
      </c>
      <c r="B5" s="31"/>
      <c r="C5" s="31"/>
      <c r="D5" s="31"/>
      <c r="E5" s="32" t="s">
        <v>316</v>
      </c>
      <c r="F5" s="33" t="str">
        <f aca="false">"OC-"&amp;$G$2&amp;"-"&amp;IF($G$4="","AAAA",YEAR($G$4))&amp;"-"&amp;TEXT($G$3,"0000")</f>
        <v>OC-BMG-2026-0039</v>
      </c>
      <c r="G5" s="33"/>
    </row>
    <row r="6" customFormat="false" ht="15" hidden="false" customHeight="false" outlineLevel="0" collapsed="false">
      <c r="A6" s="34" t="str">
        <f aca="false">"RUC "&amp;INDEX(Empresas!$A$2:$G$4,MATCH($G$2,Empresas!$A$2:$A$4,0),3)&amp;" · "&amp;INDEX(Empresas!$A$2:$G$4,MATCH($G$2,Empresas!$A$2:$A$4,0),4)</f>
        <v>RUC 20615227685 · Calle Puquina 138, Maranga, San Miguel, Lima</v>
      </c>
      <c r="B6" s="34"/>
      <c r="C6" s="34"/>
      <c r="D6" s="34"/>
      <c r="E6" s="26" t="s">
        <v>317</v>
      </c>
      <c r="G6" s="35" t="n">
        <v>0</v>
      </c>
    </row>
    <row r="7" customFormat="false" ht="15" hidden="false" customHeight="false" outlineLevel="0" collapsed="false">
      <c r="A7" s="34" t="str">
        <f aca="false">INDEX(Empresas!$A$2:$G$4,MATCH($G$2,Empresas!$A$2:$A$4,0),5)&amp;" · "&amp;INDEX(Empresas!$A$2:$G$4,MATCH($G$2,Empresas!$A$2:$A$4,0),6)&amp;" · "&amp;INDEX(Empresas!$A$2:$G$4,MATCH($G$2,Empresas!$A$2:$A$4,0),7)</f>
        <v>Cel. 987 208 622 · compras@orok.com.pe · www.orok.com.pe</v>
      </c>
      <c r="B7" s="34"/>
      <c r="C7" s="34"/>
      <c r="D7" s="34"/>
    </row>
    <row r="8" customFormat="false" ht="15" hidden="false" customHeight="false" outlineLevel="0" collapsed="false">
      <c r="A8" s="36"/>
      <c r="B8" s="36"/>
      <c r="C8" s="36"/>
      <c r="D8" s="36"/>
      <c r="E8" s="36"/>
      <c r="F8" s="36"/>
      <c r="G8" s="36"/>
    </row>
    <row r="9" customFormat="false" ht="15" hidden="false" customHeight="false" outlineLevel="0" collapsed="false">
      <c r="A9" s="37"/>
      <c r="B9" s="38" t="s">
        <v>318</v>
      </c>
      <c r="C9" s="37"/>
      <c r="D9" s="37"/>
      <c r="E9" s="38" t="s">
        <v>319</v>
      </c>
      <c r="F9" s="37"/>
      <c r="G9" s="37"/>
    </row>
    <row r="10" customFormat="false" ht="22.35" hidden="false" customHeight="true" outlineLevel="0" collapsed="false">
      <c r="A10" s="37"/>
      <c r="B10" s="39" t="s">
        <v>43</v>
      </c>
      <c r="C10" s="40" t="s">
        <v>58</v>
      </c>
      <c r="D10" s="40"/>
      <c r="E10" s="39" t="s">
        <v>18</v>
      </c>
      <c r="F10" s="41" t="str">
        <f aca="false">INDEX(Empresas!$A$2:$G$4,MATCH($G$2,Empresas!$A$2:$A$4,0),2)</f>
        <v>BMG DESARROLLADORA INMOBILIARIA S.A.C.</v>
      </c>
      <c r="G10" s="41"/>
    </row>
    <row r="11" customFormat="false" ht="15" hidden="false" customHeight="false" outlineLevel="0" collapsed="false">
      <c r="A11" s="37"/>
      <c r="B11" s="39" t="s">
        <v>44</v>
      </c>
      <c r="C11" s="41" t="str">
        <f aca="false">IFERROR(INDEX(Proveedores!$A$5:$K$65,MATCH($C$10,Proveedores!$A$5:$A$65,0),2)&amp;"","")</f>
        <v/>
      </c>
      <c r="D11" s="41"/>
      <c r="E11" s="39" t="s">
        <v>19</v>
      </c>
      <c r="F11" s="41" t="str">
        <f aca="false">INDEX(Empresas!$A$2:$G$4,MATCH($G$2,Empresas!$A$2:$A$4,0),3)</f>
        <v>20615227685</v>
      </c>
      <c r="G11" s="41"/>
    </row>
    <row r="12" customFormat="false" ht="24" hidden="false" customHeight="true" outlineLevel="0" collapsed="false">
      <c r="A12" s="37"/>
      <c r="B12" s="39" t="s">
        <v>46</v>
      </c>
      <c r="C12" s="41" t="str">
        <f aca="false">IFERROR(INDEX(Proveedores!$A$5:$K$65,MATCH($C$10,Proveedores!$A$5:$A$65,0),4)&amp;"","")</f>
        <v/>
      </c>
      <c r="D12" s="41"/>
      <c r="E12" s="39" t="s">
        <v>320</v>
      </c>
      <c r="F12" s="41" t="str">
        <f aca="false">INDEX(Empresas!$A$2:$G$4,MATCH($G$2,Empresas!$A$2:$A$4,0),4)</f>
        <v>Calle Puquina 138, Maranga, San Miguel, Lima</v>
      </c>
      <c r="G12" s="41"/>
    </row>
    <row r="13" customFormat="false" ht="24" hidden="false" customHeight="true" outlineLevel="0" collapsed="false">
      <c r="A13" s="37"/>
      <c r="B13" s="39" t="s">
        <v>47</v>
      </c>
      <c r="C13" s="41" t="str">
        <f aca="false">TRIM(IFERROR(INDEX(Proveedores!$A$5:$K$65,MATCH($C$10,Proveedores!$A$5:$A$65,0),5)&amp;"","")&amp;" "&amp;IFERROR(INDEX(Proveedores!$A$5:$K$65,MATCH($C$10,Proveedores!$A$5:$A$65,0),6)&amp;"",""))</f>
        <v>921 295 210</v>
      </c>
      <c r="D13" s="41"/>
      <c r="E13" s="39" t="s">
        <v>321</v>
      </c>
      <c r="F13" s="42" t="s">
        <v>322</v>
      </c>
      <c r="G13" s="42"/>
    </row>
    <row r="14" customFormat="false" ht="15" hidden="false" customHeight="true" outlineLevel="0" collapsed="false">
      <c r="A14" s="37"/>
      <c r="B14" s="39" t="s">
        <v>323</v>
      </c>
      <c r="C14" s="42"/>
      <c r="D14" s="42"/>
      <c r="E14" s="39" t="s">
        <v>50</v>
      </c>
      <c r="F14" s="42" t="s">
        <v>324</v>
      </c>
      <c r="G14" s="42"/>
    </row>
    <row r="15" customFormat="false" ht="15" hidden="false" customHeight="false" outlineLevel="0" collapsed="false">
      <c r="A15" s="37"/>
      <c r="B15" s="37"/>
      <c r="C15" s="37"/>
      <c r="D15" s="37"/>
      <c r="E15" s="37"/>
      <c r="F15" s="37"/>
      <c r="G15" s="37"/>
    </row>
    <row r="16" customFormat="false" ht="15" hidden="false" customHeight="false" outlineLevel="0" collapsed="false">
      <c r="A16" s="37"/>
      <c r="B16" s="38" t="s">
        <v>325</v>
      </c>
      <c r="C16" s="37"/>
      <c r="D16" s="37"/>
      <c r="E16" s="38" t="s">
        <v>326</v>
      </c>
      <c r="F16" s="37"/>
      <c r="G16" s="37"/>
    </row>
    <row r="17" customFormat="false" ht="15" hidden="false" customHeight="true" outlineLevel="0" collapsed="false">
      <c r="A17" s="37"/>
      <c r="B17" s="39" t="s">
        <v>107</v>
      </c>
      <c r="C17" s="42" t="s">
        <v>327</v>
      </c>
      <c r="D17" s="42"/>
      <c r="E17" s="39" t="s">
        <v>328</v>
      </c>
      <c r="F17" s="42" t="s">
        <v>329</v>
      </c>
      <c r="G17" s="42"/>
    </row>
    <row r="18" customFormat="false" ht="22.35" hidden="false" customHeight="true" outlineLevel="0" collapsed="false">
      <c r="A18" s="37"/>
      <c r="B18" s="39" t="s">
        <v>330</v>
      </c>
      <c r="C18" s="42" t="s">
        <v>331</v>
      </c>
      <c r="D18" s="42"/>
      <c r="E18" s="39" t="s">
        <v>46</v>
      </c>
      <c r="F18" s="42" t="s">
        <v>332</v>
      </c>
      <c r="G18" s="42"/>
    </row>
    <row r="19" customFormat="false" ht="24" hidden="false" customHeight="true" outlineLevel="0" collapsed="false">
      <c r="A19" s="37"/>
      <c r="B19" s="39" t="s">
        <v>333</v>
      </c>
      <c r="C19" s="42" t="s">
        <v>334</v>
      </c>
      <c r="D19" s="42"/>
      <c r="E19" s="39" t="s">
        <v>47</v>
      </c>
      <c r="F19" s="42" t="s">
        <v>335</v>
      </c>
      <c r="G19" s="42"/>
    </row>
    <row r="20" customFormat="false" ht="24" hidden="false" customHeight="true" outlineLevel="0" collapsed="false">
      <c r="A20" s="37"/>
      <c r="B20" s="39" t="s">
        <v>336</v>
      </c>
      <c r="C20" s="42"/>
      <c r="D20" s="42"/>
      <c r="E20" s="39" t="s">
        <v>337</v>
      </c>
      <c r="F20" s="42" t="s">
        <v>338</v>
      </c>
      <c r="G20" s="42"/>
    </row>
    <row r="21" customFormat="false" ht="15" hidden="false" customHeight="false" outlineLevel="0" collapsed="false">
      <c r="A21" s="37"/>
      <c r="B21" s="37"/>
      <c r="C21" s="37"/>
      <c r="D21" s="37"/>
      <c r="E21" s="37"/>
      <c r="F21" s="37"/>
      <c r="G21" s="37"/>
    </row>
    <row r="22" customFormat="false" ht="15" hidden="false" customHeight="false" outlineLevel="0" collapsed="false">
      <c r="A22" s="43" t="s">
        <v>339</v>
      </c>
      <c r="B22" s="44" t="s">
        <v>17</v>
      </c>
      <c r="C22" s="44" t="s">
        <v>340</v>
      </c>
      <c r="D22" s="43" t="s">
        <v>341</v>
      </c>
      <c r="E22" s="45" t="s">
        <v>342</v>
      </c>
      <c r="F22" s="45" t="s">
        <v>343</v>
      </c>
      <c r="G22" s="45" t="s">
        <v>344</v>
      </c>
    </row>
    <row r="23" customFormat="false" ht="22.35" hidden="false" customHeight="false" outlineLevel="0" collapsed="false">
      <c r="A23" s="46" t="n">
        <v>1</v>
      </c>
      <c r="B23" s="47"/>
      <c r="C23" s="48" t="s">
        <v>345</v>
      </c>
      <c r="D23" s="49" t="s">
        <v>346</v>
      </c>
      <c r="E23" s="50" t="n">
        <v>1</v>
      </c>
      <c r="F23" s="50" t="n">
        <v>500.85</v>
      </c>
      <c r="G23" s="51" t="n">
        <f aca="false">IF(OR(E23="",F23=""),"",ROUND(E23*F23,2))</f>
        <v>500.85</v>
      </c>
    </row>
    <row r="24" customFormat="false" ht="15" hidden="false" customHeight="false" outlineLevel="0" collapsed="false">
      <c r="A24" s="46" t="n">
        <v>2</v>
      </c>
      <c r="B24" s="47"/>
      <c r="C24" s="48"/>
      <c r="D24" s="49"/>
      <c r="E24" s="50"/>
      <c r="F24" s="50"/>
      <c r="G24" s="51" t="str">
        <f aca="false">IF(OR(E24="",F24=""),"",ROUND(E24*F24,2))</f>
        <v/>
      </c>
    </row>
    <row r="25" customFormat="false" ht="15" hidden="false" customHeight="false" outlineLevel="0" collapsed="false">
      <c r="A25" s="46" t="n">
        <v>3</v>
      </c>
      <c r="B25" s="47"/>
      <c r="C25" s="48"/>
      <c r="D25" s="49"/>
      <c r="E25" s="50"/>
      <c r="F25" s="50"/>
      <c r="G25" s="51" t="str">
        <f aca="false">IF(OR(E25="",F25=""),"",ROUND(E25*F25,2))</f>
        <v/>
      </c>
    </row>
    <row r="26" customFormat="false" ht="15" hidden="false" customHeight="false" outlineLevel="0" collapsed="false">
      <c r="A26" s="46" t="n">
        <v>4</v>
      </c>
      <c r="B26" s="47"/>
      <c r="C26" s="48"/>
      <c r="D26" s="49"/>
      <c r="E26" s="50"/>
      <c r="F26" s="50"/>
      <c r="G26" s="51" t="str">
        <f aca="false">IF(OR(E26="",F26=""),"",ROUND(E26*F26,2))</f>
        <v/>
      </c>
    </row>
    <row r="27" customFormat="false" ht="15" hidden="false" customHeight="false" outlineLevel="0" collapsed="false">
      <c r="A27" s="46" t="n">
        <v>5</v>
      </c>
      <c r="B27" s="47"/>
      <c r="C27" s="48"/>
      <c r="D27" s="49"/>
      <c r="E27" s="50"/>
      <c r="F27" s="50"/>
      <c r="G27" s="51" t="str">
        <f aca="false">IF(OR(E27="",F27=""),"",ROUND(E27*F27,2))</f>
        <v/>
      </c>
    </row>
    <row r="28" customFormat="false" ht="15" hidden="false" customHeight="false" outlineLevel="0" collapsed="false">
      <c r="A28" s="46" t="n">
        <v>6</v>
      </c>
      <c r="B28" s="47"/>
      <c r="C28" s="48"/>
      <c r="D28" s="49"/>
      <c r="E28" s="50"/>
      <c r="F28" s="50"/>
      <c r="G28" s="51" t="str">
        <f aca="false">IF(OR(E28="",F28=""),"",ROUND(E28*F28,2))</f>
        <v/>
      </c>
    </row>
    <row r="29" customFormat="false" ht="15" hidden="false" customHeight="false" outlineLevel="0" collapsed="false">
      <c r="A29" s="46" t="n">
        <v>7</v>
      </c>
      <c r="B29" s="47"/>
      <c r="C29" s="48"/>
      <c r="D29" s="49"/>
      <c r="E29" s="50"/>
      <c r="F29" s="50"/>
      <c r="G29" s="51" t="str">
        <f aca="false">IF(OR(E29="",F29=""),"",ROUND(E29*F29,2))</f>
        <v/>
      </c>
    </row>
    <row r="30" customFormat="false" ht="15" hidden="false" customHeight="false" outlineLevel="0" collapsed="false">
      <c r="A30" s="46" t="n">
        <v>8</v>
      </c>
      <c r="B30" s="47"/>
      <c r="C30" s="48"/>
      <c r="D30" s="49"/>
      <c r="E30" s="50"/>
      <c r="F30" s="50"/>
      <c r="G30" s="51" t="str">
        <f aca="false">IF(OR(E30="",F30=""),"",ROUND(E30*F30,2))</f>
        <v/>
      </c>
    </row>
    <row r="31" customFormat="false" ht="15" hidden="false" customHeight="false" outlineLevel="0" collapsed="false">
      <c r="A31" s="46" t="n">
        <v>9</v>
      </c>
      <c r="B31" s="47"/>
      <c r="C31" s="48"/>
      <c r="D31" s="49"/>
      <c r="E31" s="50"/>
      <c r="F31" s="50"/>
      <c r="G31" s="51" t="str">
        <f aca="false">IF(OR(E31="",F31=""),"",ROUND(E31*F31,2))</f>
        <v/>
      </c>
    </row>
    <row r="32" customFormat="false" ht="15" hidden="false" customHeight="false" outlineLevel="0" collapsed="false">
      <c r="A32" s="46" t="n">
        <v>10</v>
      </c>
      <c r="B32" s="47"/>
      <c r="C32" s="48"/>
      <c r="D32" s="49"/>
      <c r="E32" s="50"/>
      <c r="F32" s="50"/>
      <c r="G32" s="51" t="str">
        <f aca="false">IF(OR(E32="",F32=""),"",ROUND(E32*F32,2))</f>
        <v/>
      </c>
    </row>
    <row r="33" customFormat="false" ht="15" hidden="false" customHeight="false" outlineLevel="0" collapsed="false">
      <c r="A33" s="46" t="n">
        <v>11</v>
      </c>
      <c r="B33" s="47"/>
      <c r="C33" s="48"/>
      <c r="D33" s="49"/>
      <c r="E33" s="50"/>
      <c r="F33" s="50"/>
      <c r="G33" s="51" t="str">
        <f aca="false">IF(OR(E33="",F33=""),"",ROUND(E33*F33,2))</f>
        <v/>
      </c>
    </row>
    <row r="34" customFormat="false" ht="15" hidden="false" customHeight="false" outlineLevel="0" collapsed="false">
      <c r="A34" s="46" t="n">
        <v>12</v>
      </c>
      <c r="B34" s="47"/>
      <c r="C34" s="48"/>
      <c r="D34" s="49"/>
      <c r="E34" s="50"/>
      <c r="F34" s="50"/>
      <c r="G34" s="51" t="str">
        <f aca="false">IF(OR(E34="",F34=""),"",ROUND(E34*F34,2))</f>
        <v/>
      </c>
    </row>
    <row r="35" customFormat="false" ht="15" hidden="false" customHeight="false" outlineLevel="0" collapsed="false">
      <c r="A35" s="37"/>
      <c r="B35" s="37"/>
      <c r="C35" s="37"/>
      <c r="D35" s="37"/>
      <c r="E35" s="37"/>
      <c r="F35" s="37"/>
      <c r="G35" s="37"/>
    </row>
    <row r="36" customFormat="false" ht="15" hidden="false" customHeight="false" outlineLevel="0" collapsed="false">
      <c r="A36" s="37"/>
      <c r="B36" s="38" t="s">
        <v>347</v>
      </c>
      <c r="C36" s="37"/>
      <c r="D36" s="37"/>
      <c r="E36" s="37"/>
      <c r="F36" s="37"/>
      <c r="G36" s="37"/>
    </row>
    <row r="37" customFormat="false" ht="15" hidden="false" customHeight="true" outlineLevel="0" collapsed="false">
      <c r="A37" s="37"/>
      <c r="B37" s="39" t="s">
        <v>348</v>
      </c>
      <c r="C37" s="42" t="s">
        <v>349</v>
      </c>
      <c r="D37" s="42"/>
      <c r="E37" s="52" t="s">
        <v>108</v>
      </c>
      <c r="F37" s="53"/>
      <c r="G37" s="51" t="n">
        <f aca="false">ROUND(SUM(G23:G34),2)</f>
        <v>500.85</v>
      </c>
    </row>
    <row r="38" customFormat="false" ht="15" hidden="false" customHeight="true" outlineLevel="0" collapsed="false">
      <c r="A38" s="37"/>
      <c r="B38" s="39" t="s">
        <v>350</v>
      </c>
      <c r="C38" s="42" t="s">
        <v>351</v>
      </c>
      <c r="D38" s="42"/>
      <c r="E38" s="52" t="s">
        <v>352</v>
      </c>
      <c r="F38" s="53"/>
      <c r="G38" s="51" t="n">
        <f aca="false">IF(F13="Factura electrónica",ROUND(G37*0.18,2),0)</f>
        <v>90.15</v>
      </c>
    </row>
    <row r="39" customFormat="false" ht="15" hidden="false" customHeight="true" outlineLevel="0" collapsed="false">
      <c r="A39" s="37"/>
      <c r="B39" s="39" t="s">
        <v>353</v>
      </c>
      <c r="C39" s="42" t="s">
        <v>354</v>
      </c>
      <c r="D39" s="42"/>
      <c r="E39" s="52" t="s">
        <v>355</v>
      </c>
      <c r="F39" s="53"/>
      <c r="G39" s="50" t="n">
        <v>0</v>
      </c>
    </row>
    <row r="40" customFormat="false" ht="15" hidden="false" customHeight="false" outlineLevel="0" collapsed="false">
      <c r="A40" s="37"/>
      <c r="B40" s="39" t="s">
        <v>356</v>
      </c>
      <c r="C40" s="42"/>
      <c r="D40" s="42"/>
      <c r="E40" s="54" t="s">
        <v>110</v>
      </c>
      <c r="F40" s="55"/>
      <c r="G40" s="56" t="n">
        <f aca="false">ROUND(G37+G38+G39,2)</f>
        <v>591</v>
      </c>
    </row>
    <row r="41" customFormat="false" ht="24" hidden="false" customHeight="true" outlineLevel="0" collapsed="false">
      <c r="A41" s="37"/>
      <c r="B41" s="39" t="s">
        <v>357</v>
      </c>
      <c r="C41" s="57" t="str">
        <f aca="false">IF(IFERROR(INDEX(Proveedores!$A$5:$K$65,MATCH($C$10,Proveedores!$A$5:$A$65,0),10)&amp;"","")="","Cuenta del proveedor por registrar en Proveedores",TRIM(IFERROR(INDEX(Proveedores!$A$5:$K$65,MATCH($C$10,Proveedores!$A$5:$A$65,0),8)&amp;"","")&amp;" "&amp;IFERROR(INDEX(Proveedores!$A$5:$K$65,MATCH($C$10,Proveedores!$A$5:$A$65,0),9)&amp;"","")&amp;" · "&amp;IFERROR(INDEX(Proveedores!$A$5:$K$65,MATCH($C$10,Proveedores!$A$5:$A$65,0),10)&amp;"","")&amp;IF(IFERROR(INDEX(Proveedores!$A$5:$K$65,MATCH($C$10,Proveedores!$A$5:$A$65,0),11)&amp;"","")="",""," · CCI "&amp;IFERROR(INDEX(Proveedores!$A$5:$K$65,MATCH($C$10,Proveedores!$A$5:$A$65,0),11)&amp;"",""))))</f>
        <v>Cuenta del proveedor por registrar en Proveedores</v>
      </c>
      <c r="D41" s="57"/>
      <c r="E41" s="52" t="s">
        <v>358</v>
      </c>
      <c r="F41" s="58"/>
      <c r="G41" s="51" t="n">
        <f aca="false">IF(F41="",0,ROUND(G40*F41,0))</f>
        <v>0</v>
      </c>
    </row>
    <row r="42" customFormat="false" ht="15" hidden="false" customHeight="false" outlineLevel="0" collapsed="false">
      <c r="A42" s="37"/>
      <c r="B42" s="37"/>
      <c r="C42" s="57"/>
      <c r="D42" s="57"/>
      <c r="E42" s="52" t="s">
        <v>359</v>
      </c>
      <c r="F42" s="53"/>
      <c r="G42" s="51" t="n">
        <f aca="false">IF(AND(F13="Recibo por honorarios",G37&gt;1500),ROUND(G37*0.08,2),0)</f>
        <v>0</v>
      </c>
    </row>
    <row r="43" customFormat="false" ht="15" hidden="false" customHeight="false" outlineLevel="0" collapsed="false">
      <c r="A43" s="37"/>
      <c r="B43" s="37"/>
      <c r="C43" s="37"/>
      <c r="D43" s="37"/>
      <c r="E43" s="59" t="s">
        <v>360</v>
      </c>
      <c r="F43" s="53"/>
      <c r="G43" s="60" t="n">
        <f aca="false">G40-G41-G42</f>
        <v>591</v>
      </c>
    </row>
    <row r="44" customFormat="false" ht="15" hidden="false" customHeight="false" outlineLevel="0" collapsed="false">
      <c r="A44" s="37"/>
      <c r="B44" s="38" t="s">
        <v>361</v>
      </c>
      <c r="C44" s="37"/>
      <c r="D44" s="37"/>
      <c r="E44" s="61" t="str">
        <f aca="false">IF($F$14="USD","Montos en dólares americanos","Montos en soles")</f>
        <v>Montos en soles</v>
      </c>
      <c r="F44" s="37"/>
      <c r="G44" s="37"/>
    </row>
    <row r="45" customFormat="false" ht="15" hidden="false" customHeight="true" outlineLevel="0" collapsed="false">
      <c r="A45" s="37"/>
      <c r="B45" s="42" t="s">
        <v>362</v>
      </c>
      <c r="C45" s="42"/>
      <c r="D45" s="42"/>
      <c r="E45" s="42"/>
      <c r="F45" s="42"/>
      <c r="G45" s="42"/>
    </row>
    <row r="46" customFormat="false" ht="15" hidden="false" customHeight="false" outlineLevel="0" collapsed="false">
      <c r="A46" s="37"/>
      <c r="B46" s="42"/>
      <c r="C46" s="42"/>
      <c r="D46" s="42"/>
      <c r="E46" s="42"/>
      <c r="F46" s="42"/>
      <c r="G46" s="42"/>
    </row>
    <row r="48" customFormat="false" ht="15" hidden="false" customHeight="false" outlineLevel="0" collapsed="false">
      <c r="A48" s="62" t="s">
        <v>363</v>
      </c>
      <c r="B48" s="62"/>
      <c r="C48" s="62" t="s">
        <v>364</v>
      </c>
      <c r="D48" s="62" t="s">
        <v>365</v>
      </c>
      <c r="E48" s="62"/>
      <c r="F48" s="62" t="s">
        <v>366</v>
      </c>
      <c r="G48" s="62"/>
    </row>
    <row r="49" customFormat="false" ht="15" hidden="false" customHeight="false" outlineLevel="0" collapsed="false">
      <c r="A49" s="63"/>
      <c r="B49" s="63"/>
      <c r="C49" s="63"/>
      <c r="D49" s="63"/>
      <c r="E49" s="63"/>
      <c r="F49" s="63"/>
      <c r="G49" s="63"/>
    </row>
    <row r="50" customFormat="false" ht="15" hidden="false" customHeight="false" outlineLevel="0" collapsed="false">
      <c r="A50" s="63"/>
      <c r="B50" s="63"/>
      <c r="C50" s="63"/>
      <c r="D50" s="63"/>
      <c r="E50" s="63"/>
      <c r="F50" s="63"/>
      <c r="G50" s="63"/>
    </row>
    <row r="51" customFormat="false" ht="15" hidden="false" customHeight="false" outlineLevel="0" collapsed="false">
      <c r="A51" s="63"/>
      <c r="B51" s="63"/>
      <c r="C51" s="63"/>
      <c r="D51" s="63"/>
      <c r="E51" s="63"/>
      <c r="F51" s="63"/>
      <c r="G51" s="63"/>
    </row>
    <row r="52" customFormat="false" ht="15" hidden="false" customHeight="false" outlineLevel="0" collapsed="false">
      <c r="A52" s="64" t="s">
        <v>367</v>
      </c>
      <c r="B52" s="64"/>
      <c r="C52" s="64" t="s">
        <v>367</v>
      </c>
      <c r="D52" s="64" t="s">
        <v>367</v>
      </c>
      <c r="E52" s="64"/>
      <c r="F52" s="64" t="s">
        <v>367</v>
      </c>
      <c r="G52" s="64"/>
    </row>
    <row r="53" customFormat="false" ht="15" hidden="false" customHeight="false" outlineLevel="0" collapsed="false">
      <c r="A53" s="65" t="s">
        <v>368</v>
      </c>
      <c r="B53" s="65"/>
      <c r="C53" s="65" t="s">
        <v>368</v>
      </c>
      <c r="D53" s="65" t="s">
        <v>368</v>
      </c>
      <c r="E53" s="65"/>
      <c r="F53" s="65" t="s">
        <v>368</v>
      </c>
      <c r="G53" s="65"/>
    </row>
    <row r="55" customFormat="false" ht="15" hidden="false" customHeight="false" outlineLevel="0" collapsed="false">
      <c r="A55" s="66" t="s">
        <v>369</v>
      </c>
      <c r="B55" s="66"/>
      <c r="C55" s="66"/>
      <c r="D55" s="66"/>
      <c r="E55" s="67" t="str">
        <f aca="false">"Consultas: "&amp;INDEX(Empresas!$A$2:$G$4,MATCH($G$2,Empresas!$A$2:$A$4,0),6)&amp;" · "&amp;INDEX(Empresas!$A$2:$G$4,MATCH($G$2,Empresas!$A$2:$A$4,0),5)</f>
        <v>Consultas: compras@orok.com.pe · Cel. 987 208 622</v>
      </c>
      <c r="F55" s="67"/>
      <c r="G55" s="67"/>
    </row>
  </sheetData>
  <mergeCells count="44">
    <mergeCell ref="E1:G1"/>
    <mergeCell ref="A5:D5"/>
    <mergeCell ref="F5:G5"/>
    <mergeCell ref="A6:D6"/>
    <mergeCell ref="A7:D7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7:D17"/>
    <mergeCell ref="F17:G17"/>
    <mergeCell ref="C18:D18"/>
    <mergeCell ref="F18:G18"/>
    <mergeCell ref="C19:D19"/>
    <mergeCell ref="F19:G19"/>
    <mergeCell ref="C20:D20"/>
    <mergeCell ref="F20:G20"/>
    <mergeCell ref="C37:D37"/>
    <mergeCell ref="C38:D38"/>
    <mergeCell ref="C39:D39"/>
    <mergeCell ref="C40:D40"/>
    <mergeCell ref="C41:D42"/>
    <mergeCell ref="B45:G46"/>
    <mergeCell ref="A48:B48"/>
    <mergeCell ref="D48:E48"/>
    <mergeCell ref="F48:G48"/>
    <mergeCell ref="A49:B51"/>
    <mergeCell ref="C49:C51"/>
    <mergeCell ref="D49:E51"/>
    <mergeCell ref="F49:G51"/>
    <mergeCell ref="A52:B52"/>
    <mergeCell ref="D52:E52"/>
    <mergeCell ref="F52:G52"/>
    <mergeCell ref="A53:B53"/>
    <mergeCell ref="D53:E53"/>
    <mergeCell ref="F53:G53"/>
    <mergeCell ref="A55:D55"/>
    <mergeCell ref="E55:G55"/>
  </mergeCells>
  <dataValidations count="4">
    <dataValidation allowBlank="false" errorStyle="stop" operator="between" showDropDown="false" showErrorMessage="false" showInputMessage="false" sqref="G2" type="list">
      <formula1>Empresas!$A$2:$A$4</formula1>
      <formula2>0</formula2>
    </dataValidation>
    <dataValidation allowBlank="true" errorStyle="stop" operator="between" showDropDown="false" showErrorMessage="false" showInputMessage="false" sqref="C10" type="list">
      <formula1>Proveedores!$A$5:$A$65</formula1>
      <formula2>0</formula2>
    </dataValidation>
    <dataValidation allowBlank="false" errorStyle="stop" operator="between" showDropDown="false" showErrorMessage="false" showInputMessage="false" sqref="F13" type="list">
      <formula1>"Factura electrónica,Recibo por honorarios,Boleta de venta,Sin comprobante (tasas o tributos),Factura del exterior"</formula1>
      <formula2>0</formula2>
    </dataValidation>
    <dataValidation allowBlank="false" errorStyle="stop" operator="between" showDropDown="false" showErrorMessage="false" showInputMessage="false" sqref="F14" type="list">
      <formula1>"PEN,USD"</formula1>
      <formula2>0</formula2>
    </dataValidation>
  </dataValidations>
  <printOptions headings="false" gridLines="false" gridLinesSet="true" horizontalCentered="false" verticalCentered="false"/>
  <pageMargins left="0.4" right="0.4" top="0.4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6"/>
  </cols>
  <sheetData>
    <row r="1" customFormat="false" ht="24" hidden="false" customHeight="true" outlineLevel="0" collapsed="false">
      <c r="E1" s="25" t="s">
        <v>370</v>
      </c>
      <c r="F1" s="25"/>
      <c r="G1" s="25"/>
    </row>
    <row r="2" customFormat="false" ht="15.75" hidden="false" customHeight="true" outlineLevel="0" collapsed="false">
      <c r="E2" s="26" t="s">
        <v>100</v>
      </c>
      <c r="F2" s="27" t="s">
        <v>17</v>
      </c>
      <c r="G2" s="28" t="s">
        <v>26</v>
      </c>
    </row>
    <row r="3" customFormat="false" ht="15.75" hidden="false" customHeight="true" outlineLevel="0" collapsed="false">
      <c r="E3" s="26" t="s">
        <v>102</v>
      </c>
      <c r="G3" s="29" t="n">
        <v>45</v>
      </c>
    </row>
    <row r="4" customFormat="false" ht="15" hidden="false" customHeight="false" outlineLevel="0" collapsed="false">
      <c r="E4" s="26" t="s">
        <v>106</v>
      </c>
      <c r="G4" s="30" t="n">
        <v>46235</v>
      </c>
    </row>
    <row r="5" customFormat="false" ht="15" hidden="false" customHeight="false" outlineLevel="0" collapsed="false">
      <c r="A5" s="31" t="str">
        <f aca="false">INDEX(Empresas!$A$2:$G$4,MATCH($G$2,Empresas!$A$2:$A$4,0),2)</f>
        <v>BMG DESARROLLADORA INMOBILIARIA S.A.C.</v>
      </c>
      <c r="B5" s="31"/>
      <c r="C5" s="31"/>
      <c r="D5" s="31"/>
      <c r="E5" s="32" t="s">
        <v>316</v>
      </c>
      <c r="F5" s="33" t="str">
        <f aca="false">"OS-"&amp;$G$2&amp;"-"&amp;IF($G$4="","AAAA",YEAR($G$4))&amp;"-"&amp;TEXT($G$3,"0000")</f>
        <v>OS-BMG-2026-0045</v>
      </c>
      <c r="G5" s="33"/>
    </row>
    <row r="6" customFormat="false" ht="15" hidden="false" customHeight="false" outlineLevel="0" collapsed="false">
      <c r="A6" s="34" t="str">
        <f aca="false">"RUC "&amp;INDEX(Empresas!$A$2:$G$4,MATCH($G$2,Empresas!$A$2:$A$4,0),3)&amp;" · "&amp;INDEX(Empresas!$A$2:$G$4,MATCH($G$2,Empresas!$A$2:$A$4,0),4)</f>
        <v>RUC 20615227685 · Calle Puquina 138, Maranga, San Miguel, Lima</v>
      </c>
      <c r="B6" s="34"/>
      <c r="C6" s="34"/>
      <c r="D6" s="34"/>
      <c r="E6" s="26" t="s">
        <v>317</v>
      </c>
      <c r="G6" s="35" t="n">
        <v>0</v>
      </c>
    </row>
    <row r="7" customFormat="false" ht="15" hidden="false" customHeight="false" outlineLevel="0" collapsed="false">
      <c r="A7" s="34" t="str">
        <f aca="false">INDEX(Empresas!$A$2:$G$4,MATCH($G$2,Empresas!$A$2:$A$4,0),5)&amp;" · "&amp;INDEX(Empresas!$A$2:$G$4,MATCH($G$2,Empresas!$A$2:$A$4,0),6)&amp;" · "&amp;INDEX(Empresas!$A$2:$G$4,MATCH($G$2,Empresas!$A$2:$A$4,0),7)</f>
        <v>Cel. 987 208 622 · compras@orok.com.pe · www.orok.com.pe</v>
      </c>
      <c r="B7" s="34"/>
      <c r="C7" s="34"/>
      <c r="D7" s="34"/>
    </row>
    <row r="8" customFormat="false" ht="15" hidden="false" customHeight="false" outlineLevel="0" collapsed="false">
      <c r="A8" s="36"/>
      <c r="B8" s="36"/>
      <c r="C8" s="36"/>
      <c r="D8" s="36"/>
      <c r="E8" s="36"/>
      <c r="F8" s="36"/>
      <c r="G8" s="36"/>
    </row>
    <row r="9" customFormat="false" ht="15" hidden="false" customHeight="false" outlineLevel="0" collapsed="false">
      <c r="A9" s="37"/>
      <c r="B9" s="38" t="s">
        <v>318</v>
      </c>
      <c r="C9" s="37"/>
      <c r="D9" s="37"/>
      <c r="E9" s="38" t="s">
        <v>319</v>
      </c>
      <c r="F9" s="37"/>
      <c r="G9" s="37"/>
    </row>
    <row r="10" customFormat="false" ht="22.35" hidden="false" customHeight="true" outlineLevel="0" collapsed="false">
      <c r="A10" s="37"/>
      <c r="B10" s="39" t="s">
        <v>43</v>
      </c>
      <c r="C10" s="40" t="s">
        <v>93</v>
      </c>
      <c r="D10" s="40"/>
      <c r="E10" s="39" t="s">
        <v>18</v>
      </c>
      <c r="F10" s="41" t="str">
        <f aca="false">INDEX(Empresas!$A$2:$G$4,MATCH($G$2,Empresas!$A$2:$A$4,0),2)</f>
        <v>BMG DESARROLLADORA INMOBILIARIA S.A.C.</v>
      </c>
      <c r="G10" s="41"/>
    </row>
    <row r="11" customFormat="false" ht="15" hidden="false" customHeight="false" outlineLevel="0" collapsed="false">
      <c r="A11" s="37"/>
      <c r="B11" s="39" t="s">
        <v>44</v>
      </c>
      <c r="C11" s="41" t="str">
        <f aca="false">IFERROR(INDEX(Proveedores!$A$5:$K$65,MATCH($C$10,Proveedores!$A$5:$A$65,0),2)&amp;"","")</f>
        <v/>
      </c>
      <c r="D11" s="41"/>
      <c r="E11" s="39" t="s">
        <v>19</v>
      </c>
      <c r="F11" s="41" t="str">
        <f aca="false">INDEX(Empresas!$A$2:$G$4,MATCH($G$2,Empresas!$A$2:$A$4,0),3)</f>
        <v>20615227685</v>
      </c>
      <c r="G11" s="41"/>
    </row>
    <row r="12" customFormat="false" ht="24" hidden="false" customHeight="true" outlineLevel="0" collapsed="false">
      <c r="A12" s="37"/>
      <c r="B12" s="39" t="s">
        <v>46</v>
      </c>
      <c r="C12" s="41" t="str">
        <f aca="false">IFERROR(INDEX(Proveedores!$A$5:$K$65,MATCH($C$10,Proveedores!$A$5:$A$65,0),4)&amp;"","")</f>
        <v>Av. Camino Real 1125, Urb. Fundo Conde de San Isidro, Lima</v>
      </c>
      <c r="D12" s="41"/>
      <c r="E12" s="39" t="s">
        <v>320</v>
      </c>
      <c r="F12" s="41" t="str">
        <f aca="false">INDEX(Empresas!$A$2:$G$4,MATCH($G$2,Empresas!$A$2:$A$4,0),4)</f>
        <v>Calle Puquina 138, Maranga, San Miguel, Lima</v>
      </c>
      <c r="G12" s="41"/>
    </row>
    <row r="13" customFormat="false" ht="24" hidden="false" customHeight="true" outlineLevel="0" collapsed="false">
      <c r="A13" s="37"/>
      <c r="B13" s="39" t="s">
        <v>47</v>
      </c>
      <c r="C13" s="41" t="str">
        <f aca="false">TRIM(IFERROR(INDEX(Proveedores!$A$5:$K$65,MATCH($C$10,Proveedores!$A$5:$A$65,0),5)&amp;"","")&amp;" "&amp;IFERROR(INDEX(Proveedores!$A$5:$K$65,MATCH($C$10,Proveedores!$A$5:$A$65,0),6)&amp;"",""))</f>
        <v>999 988 850</v>
      </c>
      <c r="D13" s="41"/>
      <c r="E13" s="39" t="s">
        <v>321</v>
      </c>
      <c r="F13" s="42" t="s">
        <v>322</v>
      </c>
      <c r="G13" s="42"/>
    </row>
    <row r="14" customFormat="false" ht="15" hidden="false" customHeight="true" outlineLevel="0" collapsed="false">
      <c r="A14" s="37"/>
      <c r="B14" s="39" t="s">
        <v>323</v>
      </c>
      <c r="C14" s="42"/>
      <c r="D14" s="42"/>
      <c r="E14" s="39" t="s">
        <v>50</v>
      </c>
      <c r="F14" s="42" t="s">
        <v>324</v>
      </c>
      <c r="G14" s="42"/>
    </row>
    <row r="15" customFormat="false" ht="15" hidden="false" customHeight="false" outlineLevel="0" collapsed="false">
      <c r="A15" s="37"/>
      <c r="B15" s="37"/>
      <c r="C15" s="37"/>
      <c r="D15" s="37"/>
      <c r="E15" s="37"/>
      <c r="F15" s="37"/>
      <c r="G15" s="37"/>
    </row>
    <row r="16" customFormat="false" ht="15" hidden="false" customHeight="false" outlineLevel="0" collapsed="false">
      <c r="A16" s="37"/>
      <c r="B16" s="38" t="s">
        <v>325</v>
      </c>
      <c r="C16" s="37"/>
      <c r="D16" s="37"/>
      <c r="E16" s="38" t="s">
        <v>371</v>
      </c>
      <c r="F16" s="37"/>
      <c r="G16" s="37"/>
    </row>
    <row r="17" customFormat="false" ht="15" hidden="false" customHeight="true" outlineLevel="0" collapsed="false">
      <c r="A17" s="37"/>
      <c r="B17" s="39" t="s">
        <v>107</v>
      </c>
      <c r="C17" s="42" t="s">
        <v>327</v>
      </c>
      <c r="D17" s="42"/>
      <c r="E17" s="39" t="s">
        <v>328</v>
      </c>
      <c r="F17" s="42" t="s">
        <v>372</v>
      </c>
      <c r="G17" s="42"/>
    </row>
    <row r="18" customFormat="false" ht="22.35" hidden="false" customHeight="true" outlineLevel="0" collapsed="false">
      <c r="A18" s="37"/>
      <c r="B18" s="39" t="s">
        <v>330</v>
      </c>
      <c r="C18" s="42" t="s">
        <v>373</v>
      </c>
      <c r="D18" s="42"/>
      <c r="E18" s="39" t="s">
        <v>46</v>
      </c>
      <c r="F18" s="42" t="s">
        <v>332</v>
      </c>
      <c r="G18" s="42"/>
    </row>
    <row r="19" customFormat="false" ht="24" hidden="false" customHeight="true" outlineLevel="0" collapsed="false">
      <c r="A19" s="37"/>
      <c r="B19" s="39" t="s">
        <v>333</v>
      </c>
      <c r="C19" s="42" t="s">
        <v>374</v>
      </c>
      <c r="D19" s="42"/>
      <c r="E19" s="39" t="s">
        <v>47</v>
      </c>
      <c r="F19" s="42" t="s">
        <v>335</v>
      </c>
      <c r="G19" s="42"/>
    </row>
    <row r="20" customFormat="false" ht="24" hidden="false" customHeight="true" outlineLevel="0" collapsed="false">
      <c r="A20" s="37"/>
      <c r="B20" s="39" t="s">
        <v>336</v>
      </c>
      <c r="C20" s="42"/>
      <c r="D20" s="42"/>
      <c r="E20" s="39" t="s">
        <v>337</v>
      </c>
      <c r="F20" s="42" t="s">
        <v>375</v>
      </c>
      <c r="G20" s="42"/>
    </row>
    <row r="21" customFormat="false" ht="15" hidden="false" customHeight="false" outlineLevel="0" collapsed="false">
      <c r="A21" s="37"/>
      <c r="B21" s="37"/>
      <c r="C21" s="37"/>
      <c r="D21" s="37"/>
      <c r="E21" s="37"/>
      <c r="F21" s="37"/>
      <c r="G21" s="37"/>
    </row>
    <row r="22" customFormat="false" ht="15" hidden="false" customHeight="false" outlineLevel="0" collapsed="false">
      <c r="A22" s="43" t="s">
        <v>339</v>
      </c>
      <c r="B22" s="44" t="s">
        <v>17</v>
      </c>
      <c r="C22" s="44" t="s">
        <v>340</v>
      </c>
      <c r="D22" s="43" t="s">
        <v>341</v>
      </c>
      <c r="E22" s="45" t="s">
        <v>342</v>
      </c>
      <c r="F22" s="45" t="s">
        <v>343</v>
      </c>
      <c r="G22" s="45" t="s">
        <v>344</v>
      </c>
    </row>
    <row r="23" customFormat="false" ht="32.8" hidden="false" customHeight="false" outlineLevel="0" collapsed="false">
      <c r="A23" s="46" t="n">
        <v>1</v>
      </c>
      <c r="B23" s="47"/>
      <c r="C23" s="48" t="s">
        <v>376</v>
      </c>
      <c r="D23" s="49" t="s">
        <v>377</v>
      </c>
      <c r="E23" s="50" t="n">
        <v>1</v>
      </c>
      <c r="F23" s="50" t="n">
        <v>4500</v>
      </c>
      <c r="G23" s="51" t="n">
        <f aca="false">IF(OR(E23="",F23=""),"",ROUND(E23*F23,2))</f>
        <v>4500</v>
      </c>
    </row>
    <row r="24" customFormat="false" ht="15" hidden="false" customHeight="false" outlineLevel="0" collapsed="false">
      <c r="A24" s="46" t="n">
        <v>2</v>
      </c>
      <c r="B24" s="47"/>
      <c r="C24" s="48"/>
      <c r="D24" s="49"/>
      <c r="E24" s="50"/>
      <c r="F24" s="50"/>
      <c r="G24" s="51" t="str">
        <f aca="false">IF(OR(E24="",F24=""),"",ROUND(E24*F24,2))</f>
        <v/>
      </c>
    </row>
    <row r="25" customFormat="false" ht="15" hidden="false" customHeight="false" outlineLevel="0" collapsed="false">
      <c r="A25" s="46" t="n">
        <v>3</v>
      </c>
      <c r="B25" s="47"/>
      <c r="C25" s="48"/>
      <c r="D25" s="49"/>
      <c r="E25" s="50"/>
      <c r="F25" s="50"/>
      <c r="G25" s="51" t="str">
        <f aca="false">IF(OR(E25="",F25=""),"",ROUND(E25*F25,2))</f>
        <v/>
      </c>
    </row>
    <row r="26" customFormat="false" ht="15" hidden="false" customHeight="false" outlineLevel="0" collapsed="false">
      <c r="A26" s="46" t="n">
        <v>4</v>
      </c>
      <c r="B26" s="47"/>
      <c r="C26" s="48"/>
      <c r="D26" s="49"/>
      <c r="E26" s="50"/>
      <c r="F26" s="50"/>
      <c r="G26" s="51" t="str">
        <f aca="false">IF(OR(E26="",F26=""),"",ROUND(E26*F26,2))</f>
        <v/>
      </c>
    </row>
    <row r="27" customFormat="false" ht="15" hidden="false" customHeight="false" outlineLevel="0" collapsed="false">
      <c r="A27" s="46" t="n">
        <v>5</v>
      </c>
      <c r="B27" s="47"/>
      <c r="C27" s="48"/>
      <c r="D27" s="49"/>
      <c r="E27" s="50"/>
      <c r="F27" s="50"/>
      <c r="G27" s="51" t="str">
        <f aca="false">IF(OR(E27="",F27=""),"",ROUND(E27*F27,2))</f>
        <v/>
      </c>
    </row>
    <row r="28" customFormat="false" ht="15" hidden="false" customHeight="false" outlineLevel="0" collapsed="false">
      <c r="A28" s="46" t="n">
        <v>6</v>
      </c>
      <c r="B28" s="47"/>
      <c r="C28" s="48"/>
      <c r="D28" s="49"/>
      <c r="E28" s="50"/>
      <c r="F28" s="50"/>
      <c r="G28" s="51" t="str">
        <f aca="false">IF(OR(E28="",F28=""),"",ROUND(E28*F28,2))</f>
        <v/>
      </c>
    </row>
    <row r="29" customFormat="false" ht="15" hidden="false" customHeight="false" outlineLevel="0" collapsed="false">
      <c r="A29" s="46" t="n">
        <v>7</v>
      </c>
      <c r="B29" s="47"/>
      <c r="C29" s="48"/>
      <c r="D29" s="49"/>
      <c r="E29" s="50"/>
      <c r="F29" s="50"/>
      <c r="G29" s="51" t="str">
        <f aca="false">IF(OR(E29="",F29=""),"",ROUND(E29*F29,2))</f>
        <v/>
      </c>
    </row>
    <row r="30" customFormat="false" ht="15" hidden="false" customHeight="false" outlineLevel="0" collapsed="false">
      <c r="A30" s="46" t="n">
        <v>8</v>
      </c>
      <c r="B30" s="47"/>
      <c r="C30" s="48"/>
      <c r="D30" s="49"/>
      <c r="E30" s="50"/>
      <c r="F30" s="50"/>
      <c r="G30" s="51" t="str">
        <f aca="false">IF(OR(E30="",F30=""),"",ROUND(E30*F30,2))</f>
        <v/>
      </c>
    </row>
    <row r="31" customFormat="false" ht="15" hidden="false" customHeight="false" outlineLevel="0" collapsed="false">
      <c r="A31" s="46" t="n">
        <v>9</v>
      </c>
      <c r="B31" s="47"/>
      <c r="C31" s="48"/>
      <c r="D31" s="49"/>
      <c r="E31" s="50"/>
      <c r="F31" s="50"/>
      <c r="G31" s="51" t="str">
        <f aca="false">IF(OR(E31="",F31=""),"",ROUND(E31*F31,2))</f>
        <v/>
      </c>
    </row>
    <row r="32" customFormat="false" ht="15" hidden="false" customHeight="false" outlineLevel="0" collapsed="false">
      <c r="A32" s="46" t="n">
        <v>10</v>
      </c>
      <c r="B32" s="47"/>
      <c r="C32" s="48"/>
      <c r="D32" s="49"/>
      <c r="E32" s="50"/>
      <c r="F32" s="50"/>
      <c r="G32" s="51" t="str">
        <f aca="false">IF(OR(E32="",F32=""),"",ROUND(E32*F32,2))</f>
        <v/>
      </c>
    </row>
    <row r="33" customFormat="false" ht="15" hidden="false" customHeight="false" outlineLevel="0" collapsed="false">
      <c r="A33" s="46" t="n">
        <v>11</v>
      </c>
      <c r="B33" s="47"/>
      <c r="C33" s="48"/>
      <c r="D33" s="49"/>
      <c r="E33" s="50"/>
      <c r="F33" s="50"/>
      <c r="G33" s="51" t="str">
        <f aca="false">IF(OR(E33="",F33=""),"",ROUND(E33*F33,2))</f>
        <v/>
      </c>
    </row>
    <row r="34" customFormat="false" ht="15" hidden="false" customHeight="false" outlineLevel="0" collapsed="false">
      <c r="A34" s="46" t="n">
        <v>12</v>
      </c>
      <c r="B34" s="47"/>
      <c r="C34" s="48"/>
      <c r="D34" s="49"/>
      <c r="E34" s="50"/>
      <c r="F34" s="50"/>
      <c r="G34" s="51" t="str">
        <f aca="false">IF(OR(E34="",F34=""),"",ROUND(E34*F34,2))</f>
        <v/>
      </c>
    </row>
    <row r="35" customFormat="false" ht="15" hidden="false" customHeight="false" outlineLevel="0" collapsed="false">
      <c r="A35" s="37"/>
      <c r="B35" s="37"/>
      <c r="C35" s="37"/>
      <c r="D35" s="37"/>
      <c r="E35" s="37"/>
      <c r="F35" s="37"/>
      <c r="G35" s="37"/>
    </row>
    <row r="36" customFormat="false" ht="15" hidden="false" customHeight="false" outlineLevel="0" collapsed="false">
      <c r="A36" s="37"/>
      <c r="B36" s="38" t="s">
        <v>347</v>
      </c>
      <c r="C36" s="37"/>
      <c r="D36" s="37"/>
      <c r="E36" s="37"/>
      <c r="F36" s="37"/>
      <c r="G36" s="37"/>
    </row>
    <row r="37" customFormat="false" ht="15" hidden="false" customHeight="true" outlineLevel="0" collapsed="false">
      <c r="A37" s="37"/>
      <c r="B37" s="39" t="s">
        <v>348</v>
      </c>
      <c r="C37" s="42" t="s">
        <v>378</v>
      </c>
      <c r="D37" s="42"/>
      <c r="E37" s="52" t="s">
        <v>108</v>
      </c>
      <c r="F37" s="53"/>
      <c r="G37" s="51" t="n">
        <f aca="false">ROUND(SUM(G23:G34),2)</f>
        <v>4500</v>
      </c>
    </row>
    <row r="38" customFormat="false" ht="15" hidden="false" customHeight="true" outlineLevel="0" collapsed="false">
      <c r="A38" s="37"/>
      <c r="B38" s="39" t="s">
        <v>350</v>
      </c>
      <c r="C38" s="42" t="s">
        <v>379</v>
      </c>
      <c r="D38" s="42"/>
      <c r="E38" s="52" t="s">
        <v>352</v>
      </c>
      <c r="F38" s="53"/>
      <c r="G38" s="51" t="n">
        <f aca="false">IF(F13="Factura electrónica",ROUND(G37*0.18,2),0)</f>
        <v>810</v>
      </c>
    </row>
    <row r="39" customFormat="false" ht="15" hidden="false" customHeight="false" outlineLevel="0" collapsed="false">
      <c r="A39" s="37"/>
      <c r="B39" s="39" t="s">
        <v>353</v>
      </c>
      <c r="C39" s="42"/>
      <c r="D39" s="42"/>
      <c r="E39" s="52" t="s">
        <v>355</v>
      </c>
      <c r="F39" s="53"/>
      <c r="G39" s="50" t="n">
        <v>0</v>
      </c>
    </row>
    <row r="40" customFormat="false" ht="15" hidden="false" customHeight="true" outlineLevel="0" collapsed="false">
      <c r="A40" s="37"/>
      <c r="B40" s="39" t="s">
        <v>356</v>
      </c>
      <c r="C40" s="42" t="s">
        <v>380</v>
      </c>
      <c r="D40" s="42"/>
      <c r="E40" s="54" t="s">
        <v>110</v>
      </c>
      <c r="F40" s="55"/>
      <c r="G40" s="56" t="n">
        <f aca="false">ROUND(G37+G38+G39,2)</f>
        <v>5310</v>
      </c>
    </row>
    <row r="41" customFormat="false" ht="24" hidden="false" customHeight="true" outlineLevel="0" collapsed="false">
      <c r="A41" s="37"/>
      <c r="B41" s="39" t="s">
        <v>357</v>
      </c>
      <c r="C41" s="57" t="str">
        <f aca="false">IF(IFERROR(INDEX(Proveedores!$A$5:$K$65,MATCH($C$10,Proveedores!$A$5:$A$65,0),10)&amp;"","")="","Cuenta del proveedor por registrar en Proveedores",TRIM(IFERROR(INDEX(Proveedores!$A$5:$K$65,MATCH($C$10,Proveedores!$A$5:$A$65,0),8)&amp;"","")&amp;" "&amp;IFERROR(INDEX(Proveedores!$A$5:$K$65,MATCH($C$10,Proveedores!$A$5:$A$65,0),9)&amp;"","")&amp;" · "&amp;IFERROR(INDEX(Proveedores!$A$5:$K$65,MATCH($C$10,Proveedores!$A$5:$A$65,0),10)&amp;"","")&amp;IF(IFERROR(INDEX(Proveedores!$A$5:$K$65,MATCH($C$10,Proveedores!$A$5:$A$65,0),11)&amp;"","")="",""," · CCI "&amp;IFERROR(INDEX(Proveedores!$A$5:$K$65,MATCH($C$10,Proveedores!$A$5:$A$65,0),11)&amp;"",""))))</f>
        <v>BCP Soles · 1932525695069</v>
      </c>
      <c r="D41" s="57"/>
      <c r="E41" s="52" t="s">
        <v>358</v>
      </c>
      <c r="F41" s="58" t="n">
        <v>0.12</v>
      </c>
      <c r="G41" s="51" t="n">
        <f aca="false">IF(F41="",0,ROUND(G40*F41,0))</f>
        <v>637</v>
      </c>
    </row>
    <row r="42" customFormat="false" ht="15" hidden="false" customHeight="false" outlineLevel="0" collapsed="false">
      <c r="A42" s="37"/>
      <c r="B42" s="37"/>
      <c r="C42" s="57"/>
      <c r="D42" s="57"/>
      <c r="E42" s="52" t="s">
        <v>359</v>
      </c>
      <c r="F42" s="53"/>
      <c r="G42" s="51" t="n">
        <f aca="false">IF(AND(F13="Recibo por honorarios",G37&gt;1500),ROUND(G37*0.08,2),0)</f>
        <v>0</v>
      </c>
    </row>
    <row r="43" customFormat="false" ht="15" hidden="false" customHeight="false" outlineLevel="0" collapsed="false">
      <c r="A43" s="37"/>
      <c r="B43" s="37"/>
      <c r="C43" s="37"/>
      <c r="D43" s="37"/>
      <c r="E43" s="59" t="s">
        <v>360</v>
      </c>
      <c r="F43" s="53"/>
      <c r="G43" s="60" t="n">
        <f aca="false">G40-G41-G42</f>
        <v>4673</v>
      </c>
    </row>
    <row r="44" customFormat="false" ht="15" hidden="false" customHeight="false" outlineLevel="0" collapsed="false">
      <c r="A44" s="37"/>
      <c r="B44" s="38" t="s">
        <v>361</v>
      </c>
      <c r="C44" s="37"/>
      <c r="D44" s="37"/>
      <c r="E44" s="61" t="str">
        <f aca="false">IF($F$14="USD","Montos en dólares americanos","Montos en soles")</f>
        <v>Montos en soles</v>
      </c>
      <c r="F44" s="37"/>
      <c r="G44" s="37"/>
    </row>
    <row r="45" customFormat="false" ht="15" hidden="false" customHeight="true" outlineLevel="0" collapsed="false">
      <c r="A45" s="37"/>
      <c r="B45" s="42" t="s">
        <v>381</v>
      </c>
      <c r="C45" s="42"/>
      <c r="D45" s="42"/>
      <c r="E45" s="42"/>
      <c r="F45" s="42"/>
      <c r="G45" s="42"/>
    </row>
    <row r="46" customFormat="false" ht="15" hidden="false" customHeight="false" outlineLevel="0" collapsed="false">
      <c r="A46" s="37"/>
      <c r="B46" s="42"/>
      <c r="C46" s="42"/>
      <c r="D46" s="42"/>
      <c r="E46" s="42"/>
      <c r="F46" s="42"/>
      <c r="G46" s="42"/>
    </row>
    <row r="48" customFormat="false" ht="15" hidden="false" customHeight="false" outlineLevel="0" collapsed="false">
      <c r="A48" s="62" t="s">
        <v>363</v>
      </c>
      <c r="B48" s="62"/>
      <c r="C48" s="62" t="s">
        <v>365</v>
      </c>
      <c r="D48" s="62" t="s">
        <v>366</v>
      </c>
      <c r="E48" s="62"/>
      <c r="F48" s="62" t="s">
        <v>382</v>
      </c>
      <c r="G48" s="62"/>
    </row>
    <row r="49" customFormat="false" ht="15" hidden="false" customHeight="false" outlineLevel="0" collapsed="false">
      <c r="A49" s="63"/>
      <c r="B49" s="63"/>
      <c r="C49" s="63"/>
      <c r="D49" s="63"/>
      <c r="E49" s="63"/>
      <c r="F49" s="63"/>
      <c r="G49" s="63"/>
    </row>
    <row r="50" customFormat="false" ht="15" hidden="false" customHeight="false" outlineLevel="0" collapsed="false">
      <c r="A50" s="63"/>
      <c r="B50" s="63"/>
      <c r="C50" s="63"/>
      <c r="D50" s="63"/>
      <c r="E50" s="63"/>
      <c r="F50" s="63"/>
      <c r="G50" s="63"/>
    </row>
    <row r="51" customFormat="false" ht="15" hidden="false" customHeight="false" outlineLevel="0" collapsed="false">
      <c r="A51" s="63"/>
      <c r="B51" s="63"/>
      <c r="C51" s="63"/>
      <c r="D51" s="63"/>
      <c r="E51" s="63"/>
      <c r="F51" s="63"/>
      <c r="G51" s="63"/>
    </row>
    <row r="52" customFormat="false" ht="15" hidden="false" customHeight="false" outlineLevel="0" collapsed="false">
      <c r="A52" s="64" t="s">
        <v>367</v>
      </c>
      <c r="B52" s="64"/>
      <c r="C52" s="64" t="s">
        <v>367</v>
      </c>
      <c r="D52" s="64" t="s">
        <v>367</v>
      </c>
      <c r="E52" s="64"/>
      <c r="F52" s="64" t="s">
        <v>367</v>
      </c>
      <c r="G52" s="64"/>
    </row>
    <row r="53" customFormat="false" ht="15" hidden="false" customHeight="false" outlineLevel="0" collapsed="false">
      <c r="A53" s="65" t="s">
        <v>368</v>
      </c>
      <c r="B53" s="65"/>
      <c r="C53" s="65" t="s">
        <v>368</v>
      </c>
      <c r="D53" s="65" t="s">
        <v>368</v>
      </c>
      <c r="E53" s="65"/>
      <c r="F53" s="65" t="s">
        <v>368</v>
      </c>
      <c r="G53" s="65"/>
    </row>
    <row r="55" customFormat="false" ht="15" hidden="false" customHeight="false" outlineLevel="0" collapsed="false">
      <c r="A55" s="66" t="s">
        <v>369</v>
      </c>
      <c r="B55" s="66"/>
      <c r="C55" s="66"/>
      <c r="D55" s="66"/>
      <c r="E55" s="67" t="str">
        <f aca="false">"Consultas: "&amp;INDEX(Empresas!$A$2:$G$4,MATCH($G$2,Empresas!$A$2:$A$4,0),6)&amp;" · "&amp;INDEX(Empresas!$A$2:$G$4,MATCH($G$2,Empresas!$A$2:$A$4,0),5)</f>
        <v>Consultas: compras@orok.com.pe · Cel. 987 208 622</v>
      </c>
      <c r="F55" s="67"/>
      <c r="G55" s="67"/>
    </row>
  </sheetData>
  <mergeCells count="44">
    <mergeCell ref="E1:G1"/>
    <mergeCell ref="A5:D5"/>
    <mergeCell ref="F5:G5"/>
    <mergeCell ref="A6:D6"/>
    <mergeCell ref="A7:D7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7:D17"/>
    <mergeCell ref="F17:G17"/>
    <mergeCell ref="C18:D18"/>
    <mergeCell ref="F18:G18"/>
    <mergeCell ref="C19:D19"/>
    <mergeCell ref="F19:G19"/>
    <mergeCell ref="C20:D20"/>
    <mergeCell ref="F20:G20"/>
    <mergeCell ref="C37:D37"/>
    <mergeCell ref="C38:D38"/>
    <mergeCell ref="C39:D39"/>
    <mergeCell ref="C40:D40"/>
    <mergeCell ref="C41:D42"/>
    <mergeCell ref="B45:G46"/>
    <mergeCell ref="A48:B48"/>
    <mergeCell ref="D48:E48"/>
    <mergeCell ref="F48:G48"/>
    <mergeCell ref="A49:B51"/>
    <mergeCell ref="C49:C51"/>
    <mergeCell ref="D49:E51"/>
    <mergeCell ref="F49:G51"/>
    <mergeCell ref="A52:B52"/>
    <mergeCell ref="D52:E52"/>
    <mergeCell ref="F52:G52"/>
    <mergeCell ref="A53:B53"/>
    <mergeCell ref="D53:E53"/>
    <mergeCell ref="F53:G53"/>
    <mergeCell ref="A55:D55"/>
    <mergeCell ref="E55:G55"/>
  </mergeCells>
  <dataValidations count="4">
    <dataValidation allowBlank="false" errorStyle="stop" operator="between" showDropDown="false" showErrorMessage="false" showInputMessage="false" sqref="G2" type="list">
      <formula1>Empresas!$A$2:$A$4</formula1>
      <formula2>0</formula2>
    </dataValidation>
    <dataValidation allowBlank="true" errorStyle="stop" operator="between" showDropDown="false" showErrorMessage="false" showInputMessage="false" sqref="C10" type="list">
      <formula1>Proveedores!$A$5:$A$65</formula1>
      <formula2>0</formula2>
    </dataValidation>
    <dataValidation allowBlank="false" errorStyle="stop" operator="between" showDropDown="false" showErrorMessage="false" showInputMessage="false" sqref="F13" type="list">
      <formula1>"Factura electrónica,Recibo por honorarios,Boleta de venta,Sin comprobante (tasas o tributos),Factura del exterior"</formula1>
      <formula2>0</formula2>
    </dataValidation>
    <dataValidation allowBlank="false" errorStyle="stop" operator="between" showDropDown="false" showErrorMessage="false" showInputMessage="false" sqref="F14" type="list">
      <formula1>"PEN,USD"</formula1>
      <formula2>0</formula2>
    </dataValidation>
  </dataValidations>
  <printOptions headings="false" gridLines="false" gridLinesSet="true" horizontalCentered="false" verticalCentered="false"/>
  <pageMargins left="0.4" right="0.4" top="0.4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6"/>
  </cols>
  <sheetData>
    <row r="1" customFormat="false" ht="24" hidden="false" customHeight="true" outlineLevel="0" collapsed="false">
      <c r="E1" s="68" t="s">
        <v>315</v>
      </c>
      <c r="F1" s="68"/>
      <c r="G1" s="68"/>
    </row>
    <row r="2" customFormat="false" ht="15.75" hidden="false" customHeight="true" outlineLevel="0" collapsed="false">
      <c r="E2" s="26" t="s">
        <v>100</v>
      </c>
      <c r="F2" s="27" t="s">
        <v>17</v>
      </c>
      <c r="G2" s="28" t="s">
        <v>33</v>
      </c>
    </row>
    <row r="3" customFormat="false" ht="15.75" hidden="false" customHeight="true" outlineLevel="0" collapsed="false">
      <c r="E3" s="26" t="s">
        <v>102</v>
      </c>
      <c r="G3" s="29" t="n">
        <v>28</v>
      </c>
    </row>
    <row r="4" customFormat="false" ht="15" hidden="false" customHeight="false" outlineLevel="0" collapsed="false">
      <c r="E4" s="26" t="s">
        <v>106</v>
      </c>
      <c r="G4" s="30" t="n">
        <v>44209</v>
      </c>
    </row>
    <row r="5" customFormat="false" ht="15" hidden="false" customHeight="false" outlineLevel="0" collapsed="false">
      <c r="A5" s="31" t="str">
        <f aca="false">INDEX(Empresas!$A$2:$G$4,MATCH($G$2,Empresas!$A$2:$A$4,0),2)</f>
        <v>MONTEZUMA ARQUITECTOS GERENCIA Y CONSTRUCCIÓN E.I.R.L.</v>
      </c>
      <c r="B5" s="31"/>
      <c r="C5" s="31"/>
      <c r="D5" s="31"/>
      <c r="E5" s="69" t="s">
        <v>316</v>
      </c>
      <c r="F5" s="70" t="str">
        <f aca="false">"OC-"&amp;$G$2&amp;"-"&amp;IF($G$4="","AAAA",YEAR($G$4))&amp;"-"&amp;TEXT($G$3,"0000")</f>
        <v>OC-MZA-2021-0028</v>
      </c>
      <c r="G5" s="70"/>
    </row>
    <row r="6" customFormat="false" ht="15" hidden="false" customHeight="false" outlineLevel="0" collapsed="false">
      <c r="A6" s="34" t="str">
        <f aca="false">"RUC "&amp;INDEX(Empresas!$A$2:$G$4,MATCH($G$2,Empresas!$A$2:$A$4,0),3)&amp;" · "&amp;INDEX(Empresas!$A$2:$G$4,MATCH($G$2,Empresas!$A$2:$A$4,0),4)</f>
        <v>RUC 20602354785 · Calle Puquina 138, Maranga, San Miguel, Lima</v>
      </c>
      <c r="B6" s="34"/>
      <c r="C6" s="34"/>
      <c r="D6" s="34"/>
      <c r="E6" s="26" t="s">
        <v>317</v>
      </c>
      <c r="G6" s="35" t="n">
        <v>0</v>
      </c>
    </row>
    <row r="7" customFormat="false" ht="15" hidden="false" customHeight="false" outlineLevel="0" collapsed="false">
      <c r="A7" s="34" t="str">
        <f aca="false">INDEX(Empresas!$A$2:$G$4,MATCH($G$2,Empresas!$A$2:$A$4,0),5)&amp;" · "&amp;INDEX(Empresas!$A$2:$G$4,MATCH($G$2,Empresas!$A$2:$A$4,0),6)&amp;" · "&amp;INDEX(Empresas!$A$2:$G$4,MATCH($G$2,Empresas!$A$2:$A$4,0),7)</f>
        <v>Cel. 940 207 936 · info@montezumaarquitectos.com · www.montezumaarquitectos.com</v>
      </c>
      <c r="B7" s="34"/>
      <c r="C7" s="34"/>
      <c r="D7" s="34"/>
    </row>
    <row r="8" customFormat="false" ht="15" hidden="false" customHeight="false" outlineLevel="0" collapsed="false">
      <c r="A8" s="71"/>
      <c r="B8" s="71"/>
      <c r="C8" s="71"/>
      <c r="D8" s="71"/>
      <c r="E8" s="71"/>
      <c r="F8" s="71"/>
      <c r="G8" s="71"/>
    </row>
    <row r="9" customFormat="false" ht="15" hidden="false" customHeight="false" outlineLevel="0" collapsed="false">
      <c r="A9" s="37"/>
      <c r="B9" s="72" t="s">
        <v>318</v>
      </c>
      <c r="C9" s="37"/>
      <c r="D9" s="37"/>
      <c r="E9" s="72" t="s">
        <v>319</v>
      </c>
      <c r="F9" s="37"/>
      <c r="G9" s="37"/>
    </row>
    <row r="10" customFormat="false" ht="22.35" hidden="false" customHeight="true" outlineLevel="0" collapsed="false">
      <c r="A10" s="37"/>
      <c r="B10" s="39" t="s">
        <v>43</v>
      </c>
      <c r="C10" s="40" t="s">
        <v>91</v>
      </c>
      <c r="D10" s="40"/>
      <c r="E10" s="39" t="s">
        <v>18</v>
      </c>
      <c r="F10" s="41" t="str">
        <f aca="false">INDEX(Empresas!$A$2:$G$4,MATCH($G$2,Empresas!$A$2:$A$4,0),2)</f>
        <v>MONTEZUMA ARQUITECTOS GERENCIA Y CONSTRUCCIÓN E.I.R.L.</v>
      </c>
      <c r="G10" s="41"/>
    </row>
    <row r="11" customFormat="false" ht="15" hidden="false" customHeight="false" outlineLevel="0" collapsed="false">
      <c r="A11" s="37"/>
      <c r="B11" s="39" t="s">
        <v>44</v>
      </c>
      <c r="C11" s="41" t="str">
        <f aca="false">IFERROR(INDEX(Proveedores!$A$5:$K$65,MATCH($C$10,Proveedores!$A$5:$A$65,0),2)&amp;"","")</f>
        <v/>
      </c>
      <c r="D11" s="41"/>
      <c r="E11" s="39" t="s">
        <v>19</v>
      </c>
      <c r="F11" s="41" t="str">
        <f aca="false">INDEX(Empresas!$A$2:$G$4,MATCH($G$2,Empresas!$A$2:$A$4,0),3)</f>
        <v>20602354785</v>
      </c>
      <c r="G11" s="41"/>
    </row>
    <row r="12" customFormat="false" ht="24" hidden="false" customHeight="true" outlineLevel="0" collapsed="false">
      <c r="A12" s="37"/>
      <c r="B12" s="39" t="s">
        <v>46</v>
      </c>
      <c r="C12" s="41" t="str">
        <f aca="false">IFERROR(INDEX(Proveedores!$A$5:$K$65,MATCH($C$10,Proveedores!$A$5:$A$65,0),4)&amp;"","")</f>
        <v/>
      </c>
      <c r="D12" s="41"/>
      <c r="E12" s="39" t="s">
        <v>320</v>
      </c>
      <c r="F12" s="41" t="str">
        <f aca="false">INDEX(Empresas!$A$2:$G$4,MATCH($G$2,Empresas!$A$2:$A$4,0),4)</f>
        <v>Calle Puquina 138, Maranga, San Miguel, Lima</v>
      </c>
      <c r="G12" s="41"/>
    </row>
    <row r="13" customFormat="false" ht="24" hidden="false" customHeight="true" outlineLevel="0" collapsed="false">
      <c r="A13" s="37"/>
      <c r="B13" s="39" t="s">
        <v>47</v>
      </c>
      <c r="C13" s="41" t="str">
        <f aca="false">TRIM(IFERROR(INDEX(Proveedores!$A$5:$K$65,MATCH($C$10,Proveedores!$A$5:$A$65,0),5)&amp;"","")&amp;" "&amp;IFERROR(INDEX(Proveedores!$A$5:$K$65,MATCH($C$10,Proveedores!$A$5:$A$65,0),6)&amp;"",""))</f>
        <v/>
      </c>
      <c r="D13" s="41"/>
      <c r="E13" s="39" t="s">
        <v>321</v>
      </c>
      <c r="F13" s="42" t="s">
        <v>322</v>
      </c>
      <c r="G13" s="42"/>
    </row>
    <row r="14" customFormat="false" ht="15" hidden="false" customHeight="true" outlineLevel="0" collapsed="false">
      <c r="A14" s="37"/>
      <c r="B14" s="39" t="s">
        <v>323</v>
      </c>
      <c r="C14" s="42" t="s">
        <v>383</v>
      </c>
      <c r="D14" s="42"/>
      <c r="E14" s="39" t="s">
        <v>50</v>
      </c>
      <c r="F14" s="42" t="s">
        <v>324</v>
      </c>
      <c r="G14" s="42"/>
    </row>
    <row r="15" customFormat="false" ht="15" hidden="false" customHeight="false" outlineLevel="0" collapsed="false">
      <c r="A15" s="37"/>
      <c r="B15" s="37"/>
      <c r="C15" s="37"/>
      <c r="D15" s="37"/>
      <c r="E15" s="37"/>
      <c r="F15" s="37"/>
      <c r="G15" s="37"/>
    </row>
    <row r="16" customFormat="false" ht="15" hidden="false" customHeight="false" outlineLevel="0" collapsed="false">
      <c r="A16" s="37"/>
      <c r="B16" s="72" t="s">
        <v>325</v>
      </c>
      <c r="C16" s="37"/>
      <c r="D16" s="37"/>
      <c r="E16" s="72" t="s">
        <v>326</v>
      </c>
      <c r="F16" s="37"/>
      <c r="G16" s="37"/>
    </row>
    <row r="17" customFormat="false" ht="15" hidden="false" customHeight="true" outlineLevel="0" collapsed="false">
      <c r="A17" s="37"/>
      <c r="B17" s="39" t="s">
        <v>107</v>
      </c>
      <c r="C17" s="42" t="s">
        <v>384</v>
      </c>
      <c r="D17" s="42"/>
      <c r="E17" s="39" t="s">
        <v>328</v>
      </c>
      <c r="F17" s="42" t="s">
        <v>385</v>
      </c>
      <c r="G17" s="42"/>
    </row>
    <row r="18" customFormat="false" ht="22.35" hidden="false" customHeight="true" outlineLevel="0" collapsed="false">
      <c r="A18" s="37"/>
      <c r="B18" s="39" t="s">
        <v>330</v>
      </c>
      <c r="C18" s="42" t="s">
        <v>386</v>
      </c>
      <c r="D18" s="42"/>
      <c r="E18" s="39" t="s">
        <v>46</v>
      </c>
      <c r="F18" s="42" t="s">
        <v>387</v>
      </c>
      <c r="G18" s="42"/>
    </row>
    <row r="19" customFormat="false" ht="24" hidden="false" customHeight="true" outlineLevel="0" collapsed="false">
      <c r="A19" s="37"/>
      <c r="B19" s="39" t="s">
        <v>333</v>
      </c>
      <c r="C19" s="42" t="s">
        <v>388</v>
      </c>
      <c r="D19" s="42"/>
      <c r="E19" s="39" t="s">
        <v>47</v>
      </c>
      <c r="F19" s="42" t="s">
        <v>389</v>
      </c>
      <c r="G19" s="42"/>
    </row>
    <row r="20" customFormat="false" ht="24" hidden="false" customHeight="true" outlineLevel="0" collapsed="false">
      <c r="A20" s="37"/>
      <c r="B20" s="39" t="s">
        <v>336</v>
      </c>
      <c r="C20" s="42"/>
      <c r="D20" s="42"/>
      <c r="E20" s="39" t="s">
        <v>337</v>
      </c>
      <c r="F20" s="42" t="s">
        <v>390</v>
      </c>
      <c r="G20" s="42"/>
    </row>
    <row r="21" customFormat="false" ht="15" hidden="false" customHeight="false" outlineLevel="0" collapsed="false">
      <c r="A21" s="37"/>
      <c r="B21" s="37"/>
      <c r="C21" s="37"/>
      <c r="D21" s="37"/>
      <c r="E21" s="37"/>
      <c r="F21" s="37"/>
      <c r="G21" s="37"/>
    </row>
    <row r="22" customFormat="false" ht="15" hidden="false" customHeight="false" outlineLevel="0" collapsed="false">
      <c r="A22" s="73" t="s">
        <v>339</v>
      </c>
      <c r="B22" s="74" t="s">
        <v>17</v>
      </c>
      <c r="C22" s="74" t="s">
        <v>340</v>
      </c>
      <c r="D22" s="73" t="s">
        <v>341</v>
      </c>
      <c r="E22" s="75" t="s">
        <v>342</v>
      </c>
      <c r="F22" s="75" t="s">
        <v>343</v>
      </c>
      <c r="G22" s="75" t="s">
        <v>344</v>
      </c>
    </row>
    <row r="23" customFormat="false" ht="22.35" hidden="false" customHeight="false" outlineLevel="0" collapsed="false">
      <c r="A23" s="46" t="n">
        <v>1</v>
      </c>
      <c r="B23" s="47"/>
      <c r="C23" s="48" t="s">
        <v>391</v>
      </c>
      <c r="D23" s="49" t="s">
        <v>392</v>
      </c>
      <c r="E23" s="50" t="n">
        <v>6</v>
      </c>
      <c r="F23" s="50" t="n">
        <v>213</v>
      </c>
      <c r="G23" s="51" t="n">
        <f aca="false">IF(OR(E23="",F23=""),"",ROUND(E23*F23,2))</f>
        <v>1278</v>
      </c>
    </row>
    <row r="24" customFormat="false" ht="15" hidden="false" customHeight="false" outlineLevel="0" collapsed="false">
      <c r="A24" s="46" t="n">
        <v>2</v>
      </c>
      <c r="B24" s="47"/>
      <c r="C24" s="48" t="s">
        <v>393</v>
      </c>
      <c r="D24" s="49" t="s">
        <v>394</v>
      </c>
      <c r="E24" s="50" t="n">
        <v>1</v>
      </c>
      <c r="F24" s="50" t="n">
        <v>600</v>
      </c>
      <c r="G24" s="51" t="n">
        <f aca="false">IF(OR(E24="",F24=""),"",ROUND(E24*F24,2))</f>
        <v>600</v>
      </c>
    </row>
    <row r="25" customFormat="false" ht="15" hidden="false" customHeight="false" outlineLevel="0" collapsed="false">
      <c r="A25" s="46" t="n">
        <v>3</v>
      </c>
      <c r="B25" s="47"/>
      <c r="C25" s="48"/>
      <c r="D25" s="49"/>
      <c r="E25" s="50"/>
      <c r="F25" s="50"/>
      <c r="G25" s="51" t="str">
        <f aca="false">IF(OR(E25="",F25=""),"",ROUND(E25*F25,2))</f>
        <v/>
      </c>
    </row>
    <row r="26" customFormat="false" ht="15" hidden="false" customHeight="false" outlineLevel="0" collapsed="false">
      <c r="A26" s="46" t="n">
        <v>4</v>
      </c>
      <c r="B26" s="47"/>
      <c r="C26" s="48"/>
      <c r="D26" s="49"/>
      <c r="E26" s="50"/>
      <c r="F26" s="50"/>
      <c r="G26" s="51" t="str">
        <f aca="false">IF(OR(E26="",F26=""),"",ROUND(E26*F26,2))</f>
        <v/>
      </c>
    </row>
    <row r="27" customFormat="false" ht="15" hidden="false" customHeight="false" outlineLevel="0" collapsed="false">
      <c r="A27" s="46" t="n">
        <v>5</v>
      </c>
      <c r="B27" s="47"/>
      <c r="C27" s="48"/>
      <c r="D27" s="49"/>
      <c r="E27" s="50"/>
      <c r="F27" s="50"/>
      <c r="G27" s="51" t="str">
        <f aca="false">IF(OR(E27="",F27=""),"",ROUND(E27*F27,2))</f>
        <v/>
      </c>
    </row>
    <row r="28" customFormat="false" ht="15" hidden="false" customHeight="false" outlineLevel="0" collapsed="false">
      <c r="A28" s="46" t="n">
        <v>6</v>
      </c>
      <c r="B28" s="47"/>
      <c r="C28" s="48"/>
      <c r="D28" s="49"/>
      <c r="E28" s="50"/>
      <c r="F28" s="50"/>
      <c r="G28" s="51" t="str">
        <f aca="false">IF(OR(E28="",F28=""),"",ROUND(E28*F28,2))</f>
        <v/>
      </c>
    </row>
    <row r="29" customFormat="false" ht="15" hidden="false" customHeight="false" outlineLevel="0" collapsed="false">
      <c r="A29" s="46" t="n">
        <v>7</v>
      </c>
      <c r="B29" s="47"/>
      <c r="C29" s="48"/>
      <c r="D29" s="49"/>
      <c r="E29" s="50"/>
      <c r="F29" s="50"/>
      <c r="G29" s="51" t="str">
        <f aca="false">IF(OR(E29="",F29=""),"",ROUND(E29*F29,2))</f>
        <v/>
      </c>
    </row>
    <row r="30" customFormat="false" ht="15" hidden="false" customHeight="false" outlineLevel="0" collapsed="false">
      <c r="A30" s="46" t="n">
        <v>8</v>
      </c>
      <c r="B30" s="47"/>
      <c r="C30" s="48"/>
      <c r="D30" s="49"/>
      <c r="E30" s="50"/>
      <c r="F30" s="50"/>
      <c r="G30" s="51" t="str">
        <f aca="false">IF(OR(E30="",F30=""),"",ROUND(E30*F30,2))</f>
        <v/>
      </c>
    </row>
    <row r="31" customFormat="false" ht="15" hidden="false" customHeight="false" outlineLevel="0" collapsed="false">
      <c r="A31" s="46" t="n">
        <v>9</v>
      </c>
      <c r="B31" s="47"/>
      <c r="C31" s="48"/>
      <c r="D31" s="49"/>
      <c r="E31" s="50"/>
      <c r="F31" s="50"/>
      <c r="G31" s="51" t="str">
        <f aca="false">IF(OR(E31="",F31=""),"",ROUND(E31*F31,2))</f>
        <v/>
      </c>
    </row>
    <row r="32" customFormat="false" ht="15" hidden="false" customHeight="false" outlineLevel="0" collapsed="false">
      <c r="A32" s="46" t="n">
        <v>10</v>
      </c>
      <c r="B32" s="47"/>
      <c r="C32" s="48"/>
      <c r="D32" s="49"/>
      <c r="E32" s="50"/>
      <c r="F32" s="50"/>
      <c r="G32" s="51" t="str">
        <f aca="false">IF(OR(E32="",F32=""),"",ROUND(E32*F32,2))</f>
        <v/>
      </c>
    </row>
    <row r="33" customFormat="false" ht="15" hidden="false" customHeight="false" outlineLevel="0" collapsed="false">
      <c r="A33" s="46" t="n">
        <v>11</v>
      </c>
      <c r="B33" s="47"/>
      <c r="C33" s="48"/>
      <c r="D33" s="49"/>
      <c r="E33" s="50"/>
      <c r="F33" s="50"/>
      <c r="G33" s="51" t="str">
        <f aca="false">IF(OR(E33="",F33=""),"",ROUND(E33*F33,2))</f>
        <v/>
      </c>
    </row>
    <row r="34" customFormat="false" ht="15" hidden="false" customHeight="false" outlineLevel="0" collapsed="false">
      <c r="A34" s="46" t="n">
        <v>12</v>
      </c>
      <c r="B34" s="47"/>
      <c r="C34" s="48"/>
      <c r="D34" s="49"/>
      <c r="E34" s="50"/>
      <c r="F34" s="50"/>
      <c r="G34" s="51" t="str">
        <f aca="false">IF(OR(E34="",F34=""),"",ROUND(E34*F34,2))</f>
        <v/>
      </c>
    </row>
    <row r="35" customFormat="false" ht="15" hidden="false" customHeight="false" outlineLevel="0" collapsed="false">
      <c r="A35" s="37"/>
      <c r="B35" s="37"/>
      <c r="C35" s="37"/>
      <c r="D35" s="37"/>
      <c r="E35" s="37"/>
      <c r="F35" s="37"/>
      <c r="G35" s="37"/>
    </row>
    <row r="36" customFormat="false" ht="15" hidden="false" customHeight="false" outlineLevel="0" collapsed="false">
      <c r="A36" s="37"/>
      <c r="B36" s="72" t="s">
        <v>347</v>
      </c>
      <c r="C36" s="37"/>
      <c r="D36" s="37"/>
      <c r="E36" s="37"/>
      <c r="F36" s="37"/>
      <c r="G36" s="37"/>
    </row>
    <row r="37" customFormat="false" ht="15" hidden="false" customHeight="true" outlineLevel="0" collapsed="false">
      <c r="A37" s="37"/>
      <c r="B37" s="39" t="s">
        <v>348</v>
      </c>
      <c r="C37" s="42" t="s">
        <v>395</v>
      </c>
      <c r="D37" s="42"/>
      <c r="E37" s="52" t="s">
        <v>108</v>
      </c>
      <c r="F37" s="53"/>
      <c r="G37" s="51" t="n">
        <f aca="false">ROUND(SUM(G23:G34),2)</f>
        <v>1878</v>
      </c>
    </row>
    <row r="38" customFormat="false" ht="15" hidden="false" customHeight="true" outlineLevel="0" collapsed="false">
      <c r="A38" s="37"/>
      <c r="B38" s="39" t="s">
        <v>350</v>
      </c>
      <c r="C38" s="42" t="s">
        <v>396</v>
      </c>
      <c r="D38" s="42"/>
      <c r="E38" s="52" t="s">
        <v>352</v>
      </c>
      <c r="F38" s="53"/>
      <c r="G38" s="51" t="n">
        <f aca="false">IF(F13="Factura electrónica",ROUND(G37*0.18,2),0)</f>
        <v>338.04</v>
      </c>
    </row>
    <row r="39" customFormat="false" ht="15" hidden="false" customHeight="true" outlineLevel="0" collapsed="false">
      <c r="A39" s="37"/>
      <c r="B39" s="39" t="s">
        <v>353</v>
      </c>
      <c r="C39" s="42" t="s">
        <v>397</v>
      </c>
      <c r="D39" s="42"/>
      <c r="E39" s="52" t="s">
        <v>355</v>
      </c>
      <c r="F39" s="53"/>
      <c r="G39" s="50" t="n">
        <v>0</v>
      </c>
    </row>
    <row r="40" customFormat="false" ht="15" hidden="false" customHeight="false" outlineLevel="0" collapsed="false">
      <c r="A40" s="37"/>
      <c r="B40" s="39" t="s">
        <v>356</v>
      </c>
      <c r="C40" s="42"/>
      <c r="D40" s="42"/>
      <c r="E40" s="76" t="s">
        <v>110</v>
      </c>
      <c r="F40" s="77"/>
      <c r="G40" s="78" t="n">
        <f aca="false">ROUND(G37+G38+G39,2)</f>
        <v>2216.04</v>
      </c>
    </row>
    <row r="41" customFormat="false" ht="24" hidden="false" customHeight="true" outlineLevel="0" collapsed="false">
      <c r="A41" s="37"/>
      <c r="B41" s="39" t="s">
        <v>357</v>
      </c>
      <c r="C41" s="57" t="str">
        <f aca="false">IF(IFERROR(INDEX(Proveedores!$A$5:$K$65,MATCH($C$10,Proveedores!$A$5:$A$65,0),10)&amp;"","")="","Cuenta del proveedor por registrar en Proveedores",TRIM(IFERROR(INDEX(Proveedores!$A$5:$K$65,MATCH($C$10,Proveedores!$A$5:$A$65,0),8)&amp;"","")&amp;" "&amp;IFERROR(INDEX(Proveedores!$A$5:$K$65,MATCH($C$10,Proveedores!$A$5:$A$65,0),9)&amp;"","")&amp;" · "&amp;IFERROR(INDEX(Proveedores!$A$5:$K$65,MATCH($C$10,Proveedores!$A$5:$A$65,0),10)&amp;"","")&amp;IF(IFERROR(INDEX(Proveedores!$A$5:$K$65,MATCH($C$10,Proveedores!$A$5:$A$65,0),11)&amp;"","")="",""," · CCI "&amp;IFERROR(INDEX(Proveedores!$A$5:$K$65,MATCH($C$10,Proveedores!$A$5:$A$65,0),11)&amp;"",""))))</f>
        <v>Cuenta del proveedor por registrar en Proveedores</v>
      </c>
      <c r="D41" s="57"/>
      <c r="E41" s="52" t="s">
        <v>358</v>
      </c>
      <c r="F41" s="58"/>
      <c r="G41" s="51" t="n">
        <f aca="false">IF(F41="",0,ROUND(G40*F41,0))</f>
        <v>0</v>
      </c>
    </row>
    <row r="42" customFormat="false" ht="15" hidden="false" customHeight="false" outlineLevel="0" collapsed="false">
      <c r="A42" s="37"/>
      <c r="B42" s="37"/>
      <c r="C42" s="57"/>
      <c r="D42" s="57"/>
      <c r="E42" s="52" t="s">
        <v>359</v>
      </c>
      <c r="F42" s="53"/>
      <c r="G42" s="51" t="n">
        <f aca="false">IF(AND(F13="Recibo por honorarios",G37&gt;1500),ROUND(G37*0.08,2),0)</f>
        <v>0</v>
      </c>
    </row>
    <row r="43" customFormat="false" ht="15" hidden="false" customHeight="false" outlineLevel="0" collapsed="false">
      <c r="A43" s="37"/>
      <c r="B43" s="37"/>
      <c r="C43" s="37"/>
      <c r="D43" s="37"/>
      <c r="E43" s="59" t="s">
        <v>360</v>
      </c>
      <c r="F43" s="53"/>
      <c r="G43" s="60" t="n">
        <f aca="false">G40-G41-G42</f>
        <v>2216.04</v>
      </c>
    </row>
    <row r="44" customFormat="false" ht="15" hidden="false" customHeight="false" outlineLevel="0" collapsed="false">
      <c r="A44" s="37"/>
      <c r="B44" s="72" t="s">
        <v>361</v>
      </c>
      <c r="C44" s="37"/>
      <c r="D44" s="37"/>
      <c r="E44" s="61" t="str">
        <f aca="false">IF($F$14="USD","Montos en dólares americanos","Montos en soles")</f>
        <v>Montos en soles</v>
      </c>
      <c r="F44" s="37"/>
      <c r="G44" s="37"/>
    </row>
    <row r="45" customFormat="false" ht="15" hidden="false" customHeight="true" outlineLevel="0" collapsed="false">
      <c r="A45" s="37"/>
      <c r="B45" s="42" t="s">
        <v>398</v>
      </c>
      <c r="C45" s="42"/>
      <c r="D45" s="42"/>
      <c r="E45" s="42"/>
      <c r="F45" s="42"/>
      <c r="G45" s="42"/>
    </row>
    <row r="46" customFormat="false" ht="15" hidden="false" customHeight="false" outlineLevel="0" collapsed="false">
      <c r="A46" s="37"/>
      <c r="B46" s="42"/>
      <c r="C46" s="42"/>
      <c r="D46" s="42"/>
      <c r="E46" s="42"/>
      <c r="F46" s="42"/>
      <c r="G46" s="42"/>
    </row>
    <row r="48" customFormat="false" ht="15" hidden="false" customHeight="false" outlineLevel="0" collapsed="false">
      <c r="A48" s="79" t="s">
        <v>363</v>
      </c>
      <c r="B48" s="79"/>
      <c r="C48" s="79" t="s">
        <v>364</v>
      </c>
      <c r="D48" s="79" t="s">
        <v>365</v>
      </c>
      <c r="E48" s="79"/>
      <c r="F48" s="79" t="s">
        <v>366</v>
      </c>
      <c r="G48" s="79"/>
    </row>
    <row r="49" customFormat="false" ht="15" hidden="false" customHeight="false" outlineLevel="0" collapsed="false">
      <c r="A49" s="63"/>
      <c r="B49" s="63"/>
      <c r="C49" s="63"/>
      <c r="D49" s="63"/>
      <c r="E49" s="63"/>
      <c r="F49" s="63"/>
      <c r="G49" s="63"/>
    </row>
    <row r="50" customFormat="false" ht="15" hidden="false" customHeight="false" outlineLevel="0" collapsed="false">
      <c r="A50" s="63"/>
      <c r="B50" s="63"/>
      <c r="C50" s="63"/>
      <c r="D50" s="63"/>
      <c r="E50" s="63"/>
      <c r="F50" s="63"/>
      <c r="G50" s="63"/>
    </row>
    <row r="51" customFormat="false" ht="15" hidden="false" customHeight="false" outlineLevel="0" collapsed="false">
      <c r="A51" s="63"/>
      <c r="B51" s="63"/>
      <c r="C51" s="63"/>
      <c r="D51" s="63"/>
      <c r="E51" s="63"/>
      <c r="F51" s="63"/>
      <c r="G51" s="63"/>
    </row>
    <row r="52" customFormat="false" ht="15" hidden="false" customHeight="false" outlineLevel="0" collapsed="false">
      <c r="A52" s="64" t="s">
        <v>367</v>
      </c>
      <c r="B52" s="64"/>
      <c r="C52" s="64" t="s">
        <v>367</v>
      </c>
      <c r="D52" s="64" t="s">
        <v>367</v>
      </c>
      <c r="E52" s="64"/>
      <c r="F52" s="64" t="s">
        <v>367</v>
      </c>
      <c r="G52" s="64"/>
    </row>
    <row r="53" customFormat="false" ht="15" hidden="false" customHeight="false" outlineLevel="0" collapsed="false">
      <c r="A53" s="65" t="s">
        <v>368</v>
      </c>
      <c r="B53" s="65"/>
      <c r="C53" s="65" t="s">
        <v>368</v>
      </c>
      <c r="D53" s="65" t="s">
        <v>368</v>
      </c>
      <c r="E53" s="65"/>
      <c r="F53" s="65" t="s">
        <v>368</v>
      </c>
      <c r="G53" s="65"/>
    </row>
    <row r="55" customFormat="false" ht="15" hidden="false" customHeight="false" outlineLevel="0" collapsed="false">
      <c r="A55" s="66" t="s">
        <v>369</v>
      </c>
      <c r="B55" s="66"/>
      <c r="C55" s="66"/>
      <c r="D55" s="66"/>
      <c r="E55" s="67" t="str">
        <f aca="false">"Consultas: "&amp;INDEX(Empresas!$A$2:$G$4,MATCH($G$2,Empresas!$A$2:$A$4,0),6)&amp;" · "&amp;INDEX(Empresas!$A$2:$G$4,MATCH($G$2,Empresas!$A$2:$A$4,0),5)</f>
        <v>Consultas: info@montezumaarquitectos.com · Cel. 940 207 936</v>
      </c>
      <c r="F55" s="67"/>
      <c r="G55" s="67"/>
    </row>
  </sheetData>
  <mergeCells count="44">
    <mergeCell ref="E1:G1"/>
    <mergeCell ref="A5:D5"/>
    <mergeCell ref="F5:G5"/>
    <mergeCell ref="A6:D6"/>
    <mergeCell ref="A7:D7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7:D17"/>
    <mergeCell ref="F17:G17"/>
    <mergeCell ref="C18:D18"/>
    <mergeCell ref="F18:G18"/>
    <mergeCell ref="C19:D19"/>
    <mergeCell ref="F19:G19"/>
    <mergeCell ref="C20:D20"/>
    <mergeCell ref="F20:G20"/>
    <mergeCell ref="C37:D37"/>
    <mergeCell ref="C38:D38"/>
    <mergeCell ref="C39:D39"/>
    <mergeCell ref="C40:D40"/>
    <mergeCell ref="C41:D42"/>
    <mergeCell ref="B45:G46"/>
    <mergeCell ref="A48:B48"/>
    <mergeCell ref="D48:E48"/>
    <mergeCell ref="F48:G48"/>
    <mergeCell ref="A49:B51"/>
    <mergeCell ref="C49:C51"/>
    <mergeCell ref="D49:E51"/>
    <mergeCell ref="F49:G51"/>
    <mergeCell ref="A52:B52"/>
    <mergeCell ref="D52:E52"/>
    <mergeCell ref="F52:G52"/>
    <mergeCell ref="A53:B53"/>
    <mergeCell ref="D53:E53"/>
    <mergeCell ref="F53:G53"/>
    <mergeCell ref="A55:D55"/>
    <mergeCell ref="E55:G55"/>
  </mergeCells>
  <dataValidations count="4">
    <dataValidation allowBlank="false" errorStyle="stop" operator="between" showDropDown="false" showErrorMessage="false" showInputMessage="false" sqref="G2" type="list">
      <formula1>Empresas!$A$2:$A$4</formula1>
      <formula2>0</formula2>
    </dataValidation>
    <dataValidation allowBlank="true" errorStyle="stop" operator="between" showDropDown="false" showErrorMessage="false" showInputMessage="false" sqref="C10" type="list">
      <formula1>Proveedores!$A$5:$A$65</formula1>
      <formula2>0</formula2>
    </dataValidation>
    <dataValidation allowBlank="false" errorStyle="stop" operator="between" showDropDown="false" showErrorMessage="false" showInputMessage="false" sqref="F13" type="list">
      <formula1>"Factura electrónica,Recibo por honorarios,Boleta de venta,Sin comprobante (tasas o tributos),Factura del exterior"</formula1>
      <formula2>0</formula2>
    </dataValidation>
    <dataValidation allowBlank="false" errorStyle="stop" operator="between" showDropDown="false" showErrorMessage="false" showInputMessage="false" sqref="F14" type="list">
      <formula1>"PEN,USD"</formula1>
      <formula2>0</formula2>
    </dataValidation>
  </dataValidations>
  <printOptions headings="false" gridLines="false" gridLinesSet="true" horizontalCentered="false" verticalCentered="false"/>
  <pageMargins left="0.4" right="0.4" top="0.4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6"/>
  </cols>
  <sheetData>
    <row r="1" customFormat="false" ht="24" hidden="false" customHeight="true" outlineLevel="0" collapsed="false">
      <c r="E1" s="68" t="s">
        <v>370</v>
      </c>
      <c r="F1" s="68"/>
      <c r="G1" s="68"/>
    </row>
    <row r="2" customFormat="false" ht="15.75" hidden="false" customHeight="true" outlineLevel="0" collapsed="false">
      <c r="E2" s="26" t="s">
        <v>100</v>
      </c>
      <c r="F2" s="27" t="s">
        <v>17</v>
      </c>
      <c r="G2" s="28" t="s">
        <v>33</v>
      </c>
    </row>
    <row r="3" customFormat="false" ht="15.75" hidden="false" customHeight="true" outlineLevel="0" collapsed="false">
      <c r="E3" s="26" t="s">
        <v>102</v>
      </c>
      <c r="G3" s="29" t="n">
        <v>1</v>
      </c>
    </row>
    <row r="4" customFormat="false" ht="15" hidden="false" customHeight="false" outlineLevel="0" collapsed="false">
      <c r="E4" s="26" t="s">
        <v>106</v>
      </c>
      <c r="G4" s="30"/>
    </row>
    <row r="5" customFormat="false" ht="15" hidden="false" customHeight="false" outlineLevel="0" collapsed="false">
      <c r="A5" s="31" t="str">
        <f aca="false">INDEX(Empresas!$A$2:$G$4,MATCH($G$2,Empresas!$A$2:$A$4,0),2)</f>
        <v>MONTEZUMA ARQUITECTOS GERENCIA Y CONSTRUCCIÓN E.I.R.L.</v>
      </c>
      <c r="B5" s="31"/>
      <c r="C5" s="31"/>
      <c r="D5" s="31"/>
      <c r="E5" s="69" t="s">
        <v>316</v>
      </c>
      <c r="F5" s="70" t="str">
        <f aca="false">"OS-"&amp;$G$2&amp;"-"&amp;IF($G$4="","AAAA",YEAR($G$4))&amp;"-"&amp;TEXT($G$3,"0000")</f>
        <v>OS-MZA-AAAA-0001</v>
      </c>
      <c r="G5" s="70"/>
    </row>
    <row r="6" customFormat="false" ht="15" hidden="false" customHeight="false" outlineLevel="0" collapsed="false">
      <c r="A6" s="34" t="str">
        <f aca="false">"RUC "&amp;INDEX(Empresas!$A$2:$G$4,MATCH($G$2,Empresas!$A$2:$A$4,0),3)&amp;" · "&amp;INDEX(Empresas!$A$2:$G$4,MATCH($G$2,Empresas!$A$2:$A$4,0),4)</f>
        <v>RUC 20602354785 · Calle Puquina 138, Maranga, San Miguel, Lima</v>
      </c>
      <c r="B6" s="34"/>
      <c r="C6" s="34"/>
      <c r="D6" s="34"/>
      <c r="E6" s="26" t="s">
        <v>317</v>
      </c>
      <c r="G6" s="35" t="n">
        <v>0</v>
      </c>
    </row>
    <row r="7" customFormat="false" ht="15" hidden="false" customHeight="false" outlineLevel="0" collapsed="false">
      <c r="A7" s="34" t="str">
        <f aca="false">INDEX(Empresas!$A$2:$G$4,MATCH($G$2,Empresas!$A$2:$A$4,0),5)&amp;" · "&amp;INDEX(Empresas!$A$2:$G$4,MATCH($G$2,Empresas!$A$2:$A$4,0),6)&amp;" · "&amp;INDEX(Empresas!$A$2:$G$4,MATCH($G$2,Empresas!$A$2:$A$4,0),7)</f>
        <v>Cel. 940 207 936 · info@montezumaarquitectos.com · www.montezumaarquitectos.com</v>
      </c>
      <c r="B7" s="34"/>
      <c r="C7" s="34"/>
      <c r="D7" s="34"/>
    </row>
    <row r="8" customFormat="false" ht="15" hidden="false" customHeight="false" outlineLevel="0" collapsed="false">
      <c r="A8" s="71"/>
      <c r="B8" s="71"/>
      <c r="C8" s="71"/>
      <c r="D8" s="71"/>
      <c r="E8" s="71"/>
      <c r="F8" s="71"/>
      <c r="G8" s="71"/>
    </row>
    <row r="9" customFormat="false" ht="15" hidden="false" customHeight="false" outlineLevel="0" collapsed="false">
      <c r="A9" s="37"/>
      <c r="B9" s="72" t="s">
        <v>318</v>
      </c>
      <c r="C9" s="37"/>
      <c r="D9" s="37"/>
      <c r="E9" s="72" t="s">
        <v>319</v>
      </c>
      <c r="F9" s="37"/>
      <c r="G9" s="37"/>
    </row>
    <row r="10" customFormat="false" ht="22.35" hidden="false" customHeight="false" outlineLevel="0" collapsed="false">
      <c r="A10" s="37"/>
      <c r="B10" s="39" t="s">
        <v>43</v>
      </c>
      <c r="C10" s="40"/>
      <c r="D10" s="40"/>
      <c r="E10" s="39" t="s">
        <v>18</v>
      </c>
      <c r="F10" s="41" t="str">
        <f aca="false">INDEX(Empresas!$A$2:$G$4,MATCH($G$2,Empresas!$A$2:$A$4,0),2)</f>
        <v>MONTEZUMA ARQUITECTOS GERENCIA Y CONSTRUCCIÓN E.I.R.L.</v>
      </c>
      <c r="G10" s="41"/>
    </row>
    <row r="11" customFormat="false" ht="15" hidden="false" customHeight="false" outlineLevel="0" collapsed="false">
      <c r="A11" s="37"/>
      <c r="B11" s="39" t="s">
        <v>44</v>
      </c>
      <c r="C11" s="41" t="str">
        <f aca="false">IFERROR(INDEX(Proveedores!$A$5:$K$65,MATCH($C$10,Proveedores!$A$5:$A$65,0),2)&amp;"","")</f>
        <v/>
      </c>
      <c r="D11" s="41"/>
      <c r="E11" s="39" t="s">
        <v>19</v>
      </c>
      <c r="F11" s="41" t="str">
        <f aca="false">INDEX(Empresas!$A$2:$G$4,MATCH($G$2,Empresas!$A$2:$A$4,0),3)</f>
        <v>20602354785</v>
      </c>
      <c r="G11" s="41"/>
    </row>
    <row r="12" customFormat="false" ht="24" hidden="false" customHeight="true" outlineLevel="0" collapsed="false">
      <c r="A12" s="37"/>
      <c r="B12" s="39" t="s">
        <v>46</v>
      </c>
      <c r="C12" s="41" t="str">
        <f aca="false">IFERROR(INDEX(Proveedores!$A$5:$K$65,MATCH($C$10,Proveedores!$A$5:$A$65,0),4)&amp;"","")</f>
        <v/>
      </c>
      <c r="D12" s="41"/>
      <c r="E12" s="39" t="s">
        <v>320</v>
      </c>
      <c r="F12" s="41" t="str">
        <f aca="false">INDEX(Empresas!$A$2:$G$4,MATCH($G$2,Empresas!$A$2:$A$4,0),4)</f>
        <v>Calle Puquina 138, Maranga, San Miguel, Lima</v>
      </c>
      <c r="G12" s="41"/>
    </row>
    <row r="13" customFormat="false" ht="24" hidden="false" customHeight="true" outlineLevel="0" collapsed="false">
      <c r="A13" s="37"/>
      <c r="B13" s="39" t="s">
        <v>47</v>
      </c>
      <c r="C13" s="41" t="str">
        <f aca="false">TRIM(IFERROR(INDEX(Proveedores!$A$5:$K$65,MATCH($C$10,Proveedores!$A$5:$A$65,0),5)&amp;"","")&amp;" "&amp;IFERROR(INDEX(Proveedores!$A$5:$K$65,MATCH($C$10,Proveedores!$A$5:$A$65,0),6)&amp;"",""))</f>
        <v/>
      </c>
      <c r="D13" s="41"/>
      <c r="E13" s="39" t="s">
        <v>321</v>
      </c>
      <c r="F13" s="42" t="s">
        <v>322</v>
      </c>
      <c r="G13" s="42"/>
    </row>
    <row r="14" customFormat="false" ht="15" hidden="false" customHeight="true" outlineLevel="0" collapsed="false">
      <c r="A14" s="37"/>
      <c r="B14" s="39" t="s">
        <v>323</v>
      </c>
      <c r="C14" s="42"/>
      <c r="D14" s="42"/>
      <c r="E14" s="39" t="s">
        <v>50</v>
      </c>
      <c r="F14" s="42" t="s">
        <v>324</v>
      </c>
      <c r="G14" s="42"/>
    </row>
    <row r="15" customFormat="false" ht="15" hidden="false" customHeight="false" outlineLevel="0" collapsed="false">
      <c r="A15" s="37"/>
      <c r="B15" s="37"/>
      <c r="C15" s="37"/>
      <c r="D15" s="37"/>
      <c r="E15" s="37"/>
      <c r="F15" s="37"/>
      <c r="G15" s="37"/>
    </row>
    <row r="16" customFormat="false" ht="15" hidden="false" customHeight="false" outlineLevel="0" collapsed="false">
      <c r="A16" s="37"/>
      <c r="B16" s="72" t="s">
        <v>325</v>
      </c>
      <c r="C16" s="37"/>
      <c r="D16" s="37"/>
      <c r="E16" s="72" t="s">
        <v>371</v>
      </c>
      <c r="F16" s="37"/>
      <c r="G16" s="37"/>
    </row>
    <row r="17" customFormat="false" ht="15" hidden="false" customHeight="false" outlineLevel="0" collapsed="false">
      <c r="A17" s="37"/>
      <c r="B17" s="39" t="s">
        <v>107</v>
      </c>
      <c r="C17" s="42"/>
      <c r="D17" s="42"/>
      <c r="E17" s="39" t="s">
        <v>328</v>
      </c>
      <c r="F17" s="42"/>
      <c r="G17" s="42"/>
    </row>
    <row r="18" customFormat="false" ht="15" hidden="false" customHeight="false" outlineLevel="0" collapsed="false">
      <c r="A18" s="37"/>
      <c r="B18" s="39" t="s">
        <v>330</v>
      </c>
      <c r="C18" s="42"/>
      <c r="D18" s="42"/>
      <c r="E18" s="39" t="s">
        <v>46</v>
      </c>
      <c r="F18" s="42"/>
      <c r="G18" s="42"/>
    </row>
    <row r="19" customFormat="false" ht="24" hidden="false" customHeight="true" outlineLevel="0" collapsed="false">
      <c r="A19" s="37"/>
      <c r="B19" s="39" t="s">
        <v>333</v>
      </c>
      <c r="C19" s="42"/>
      <c r="D19" s="42"/>
      <c r="E19" s="39" t="s">
        <v>47</v>
      </c>
      <c r="F19" s="42"/>
      <c r="G19" s="42"/>
    </row>
    <row r="20" customFormat="false" ht="24" hidden="false" customHeight="true" outlineLevel="0" collapsed="false">
      <c r="A20" s="37"/>
      <c r="B20" s="39" t="s">
        <v>336</v>
      </c>
      <c r="C20" s="42"/>
      <c r="D20" s="42"/>
      <c r="E20" s="39" t="s">
        <v>337</v>
      </c>
      <c r="F20" s="42"/>
      <c r="G20" s="42"/>
    </row>
    <row r="21" customFormat="false" ht="15" hidden="false" customHeight="false" outlineLevel="0" collapsed="false">
      <c r="A21" s="37"/>
      <c r="B21" s="37"/>
      <c r="C21" s="37"/>
      <c r="D21" s="37"/>
      <c r="E21" s="37"/>
      <c r="F21" s="37"/>
      <c r="G21" s="37"/>
    </row>
    <row r="22" customFormat="false" ht="15" hidden="false" customHeight="false" outlineLevel="0" collapsed="false">
      <c r="A22" s="73" t="s">
        <v>339</v>
      </c>
      <c r="B22" s="74" t="s">
        <v>17</v>
      </c>
      <c r="C22" s="74" t="s">
        <v>340</v>
      </c>
      <c r="D22" s="73" t="s">
        <v>341</v>
      </c>
      <c r="E22" s="75" t="s">
        <v>342</v>
      </c>
      <c r="F22" s="75" t="s">
        <v>343</v>
      </c>
      <c r="G22" s="75" t="s">
        <v>344</v>
      </c>
    </row>
    <row r="23" customFormat="false" ht="15" hidden="false" customHeight="false" outlineLevel="0" collapsed="false">
      <c r="A23" s="46" t="n">
        <v>1</v>
      </c>
      <c r="B23" s="47"/>
      <c r="C23" s="48"/>
      <c r="D23" s="49"/>
      <c r="E23" s="50"/>
      <c r="F23" s="50"/>
      <c r="G23" s="51" t="str">
        <f aca="false">IF(OR(E23="",F23=""),"",ROUND(E23*F23,2))</f>
        <v/>
      </c>
    </row>
    <row r="24" customFormat="false" ht="15" hidden="false" customHeight="false" outlineLevel="0" collapsed="false">
      <c r="A24" s="46" t="n">
        <v>2</v>
      </c>
      <c r="B24" s="47"/>
      <c r="C24" s="48"/>
      <c r="D24" s="49"/>
      <c r="E24" s="50"/>
      <c r="F24" s="50"/>
      <c r="G24" s="51" t="str">
        <f aca="false">IF(OR(E24="",F24=""),"",ROUND(E24*F24,2))</f>
        <v/>
      </c>
    </row>
    <row r="25" customFormat="false" ht="15" hidden="false" customHeight="false" outlineLevel="0" collapsed="false">
      <c r="A25" s="46" t="n">
        <v>3</v>
      </c>
      <c r="B25" s="47"/>
      <c r="C25" s="48"/>
      <c r="D25" s="49"/>
      <c r="E25" s="50"/>
      <c r="F25" s="50"/>
      <c r="G25" s="51" t="str">
        <f aca="false">IF(OR(E25="",F25=""),"",ROUND(E25*F25,2))</f>
        <v/>
      </c>
    </row>
    <row r="26" customFormat="false" ht="15" hidden="false" customHeight="false" outlineLevel="0" collapsed="false">
      <c r="A26" s="46" t="n">
        <v>4</v>
      </c>
      <c r="B26" s="47"/>
      <c r="C26" s="48"/>
      <c r="D26" s="49"/>
      <c r="E26" s="50"/>
      <c r="F26" s="50"/>
      <c r="G26" s="51" t="str">
        <f aca="false">IF(OR(E26="",F26=""),"",ROUND(E26*F26,2))</f>
        <v/>
      </c>
    </row>
    <row r="27" customFormat="false" ht="15" hidden="false" customHeight="false" outlineLevel="0" collapsed="false">
      <c r="A27" s="46" t="n">
        <v>5</v>
      </c>
      <c r="B27" s="47"/>
      <c r="C27" s="48"/>
      <c r="D27" s="49"/>
      <c r="E27" s="50"/>
      <c r="F27" s="50"/>
      <c r="G27" s="51" t="str">
        <f aca="false">IF(OR(E27="",F27=""),"",ROUND(E27*F27,2))</f>
        <v/>
      </c>
    </row>
    <row r="28" customFormat="false" ht="15" hidden="false" customHeight="false" outlineLevel="0" collapsed="false">
      <c r="A28" s="46" t="n">
        <v>6</v>
      </c>
      <c r="B28" s="47"/>
      <c r="C28" s="48"/>
      <c r="D28" s="49"/>
      <c r="E28" s="50"/>
      <c r="F28" s="50"/>
      <c r="G28" s="51" t="str">
        <f aca="false">IF(OR(E28="",F28=""),"",ROUND(E28*F28,2))</f>
        <v/>
      </c>
    </row>
    <row r="29" customFormat="false" ht="15" hidden="false" customHeight="false" outlineLevel="0" collapsed="false">
      <c r="A29" s="46" t="n">
        <v>7</v>
      </c>
      <c r="B29" s="47"/>
      <c r="C29" s="48"/>
      <c r="D29" s="49"/>
      <c r="E29" s="50"/>
      <c r="F29" s="50"/>
      <c r="G29" s="51" t="str">
        <f aca="false">IF(OR(E29="",F29=""),"",ROUND(E29*F29,2))</f>
        <v/>
      </c>
    </row>
    <row r="30" customFormat="false" ht="15" hidden="false" customHeight="false" outlineLevel="0" collapsed="false">
      <c r="A30" s="46" t="n">
        <v>8</v>
      </c>
      <c r="B30" s="47"/>
      <c r="C30" s="48"/>
      <c r="D30" s="49"/>
      <c r="E30" s="50"/>
      <c r="F30" s="50"/>
      <c r="G30" s="51" t="str">
        <f aca="false">IF(OR(E30="",F30=""),"",ROUND(E30*F30,2))</f>
        <v/>
      </c>
    </row>
    <row r="31" customFormat="false" ht="15" hidden="false" customHeight="false" outlineLevel="0" collapsed="false">
      <c r="A31" s="46" t="n">
        <v>9</v>
      </c>
      <c r="B31" s="47"/>
      <c r="C31" s="48"/>
      <c r="D31" s="49"/>
      <c r="E31" s="50"/>
      <c r="F31" s="50"/>
      <c r="G31" s="51" t="str">
        <f aca="false">IF(OR(E31="",F31=""),"",ROUND(E31*F31,2))</f>
        <v/>
      </c>
    </row>
    <row r="32" customFormat="false" ht="15" hidden="false" customHeight="false" outlineLevel="0" collapsed="false">
      <c r="A32" s="46" t="n">
        <v>10</v>
      </c>
      <c r="B32" s="47"/>
      <c r="C32" s="48"/>
      <c r="D32" s="49"/>
      <c r="E32" s="50"/>
      <c r="F32" s="50"/>
      <c r="G32" s="51" t="str">
        <f aca="false">IF(OR(E32="",F32=""),"",ROUND(E32*F32,2))</f>
        <v/>
      </c>
    </row>
    <row r="33" customFormat="false" ht="15" hidden="false" customHeight="false" outlineLevel="0" collapsed="false">
      <c r="A33" s="46" t="n">
        <v>11</v>
      </c>
      <c r="B33" s="47"/>
      <c r="C33" s="48"/>
      <c r="D33" s="49"/>
      <c r="E33" s="50"/>
      <c r="F33" s="50"/>
      <c r="G33" s="51" t="str">
        <f aca="false">IF(OR(E33="",F33=""),"",ROUND(E33*F33,2))</f>
        <v/>
      </c>
    </row>
    <row r="34" customFormat="false" ht="15" hidden="false" customHeight="false" outlineLevel="0" collapsed="false">
      <c r="A34" s="46" t="n">
        <v>12</v>
      </c>
      <c r="B34" s="47"/>
      <c r="C34" s="48"/>
      <c r="D34" s="49"/>
      <c r="E34" s="50"/>
      <c r="F34" s="50"/>
      <c r="G34" s="51" t="str">
        <f aca="false">IF(OR(E34="",F34=""),"",ROUND(E34*F34,2))</f>
        <v/>
      </c>
    </row>
    <row r="35" customFormat="false" ht="15" hidden="false" customHeight="false" outlineLevel="0" collapsed="false">
      <c r="A35" s="37"/>
      <c r="B35" s="37"/>
      <c r="C35" s="37"/>
      <c r="D35" s="37"/>
      <c r="E35" s="37"/>
      <c r="F35" s="37"/>
      <c r="G35" s="37"/>
    </row>
    <row r="36" customFormat="false" ht="15" hidden="false" customHeight="false" outlineLevel="0" collapsed="false">
      <c r="A36" s="37"/>
      <c r="B36" s="72" t="s">
        <v>347</v>
      </c>
      <c r="C36" s="37"/>
      <c r="D36" s="37"/>
      <c r="E36" s="37"/>
      <c r="F36" s="37"/>
      <c r="G36" s="37"/>
    </row>
    <row r="37" customFormat="false" ht="15" hidden="false" customHeight="false" outlineLevel="0" collapsed="false">
      <c r="A37" s="37"/>
      <c r="B37" s="39" t="s">
        <v>348</v>
      </c>
      <c r="C37" s="42"/>
      <c r="D37" s="42"/>
      <c r="E37" s="52" t="s">
        <v>108</v>
      </c>
      <c r="F37" s="53"/>
      <c r="G37" s="51" t="n">
        <f aca="false">ROUND(SUM(G23:G34),2)</f>
        <v>0</v>
      </c>
    </row>
    <row r="38" customFormat="false" ht="15" hidden="false" customHeight="false" outlineLevel="0" collapsed="false">
      <c r="A38" s="37"/>
      <c r="B38" s="39" t="s">
        <v>350</v>
      </c>
      <c r="C38" s="42"/>
      <c r="D38" s="42"/>
      <c r="E38" s="52" t="s">
        <v>352</v>
      </c>
      <c r="F38" s="53"/>
      <c r="G38" s="51" t="n">
        <f aca="false">IF(F13="Factura electrónica",ROUND(G37*0.18,2),0)</f>
        <v>0</v>
      </c>
    </row>
    <row r="39" customFormat="false" ht="15" hidden="false" customHeight="false" outlineLevel="0" collapsed="false">
      <c r="A39" s="37"/>
      <c r="B39" s="39" t="s">
        <v>353</v>
      </c>
      <c r="C39" s="42"/>
      <c r="D39" s="42"/>
      <c r="E39" s="52" t="s">
        <v>355</v>
      </c>
      <c r="F39" s="53"/>
      <c r="G39" s="50" t="n">
        <v>0</v>
      </c>
    </row>
    <row r="40" customFormat="false" ht="15" hidden="false" customHeight="false" outlineLevel="0" collapsed="false">
      <c r="A40" s="37"/>
      <c r="B40" s="39" t="s">
        <v>356</v>
      </c>
      <c r="C40" s="42"/>
      <c r="D40" s="42"/>
      <c r="E40" s="76" t="s">
        <v>110</v>
      </c>
      <c r="F40" s="77"/>
      <c r="G40" s="78" t="n">
        <f aca="false">ROUND(G37+G38+G39,2)</f>
        <v>0</v>
      </c>
    </row>
    <row r="41" customFormat="false" ht="24" hidden="false" customHeight="true" outlineLevel="0" collapsed="false">
      <c r="A41" s="37"/>
      <c r="B41" s="39" t="s">
        <v>357</v>
      </c>
      <c r="C41" s="57" t="str">
        <f aca="false">IF(IFERROR(INDEX(Proveedores!$A$5:$K$65,MATCH($C$10,Proveedores!$A$5:$A$65,0),10)&amp;"","")="","Cuenta del proveedor por registrar en Proveedores",TRIM(IFERROR(INDEX(Proveedores!$A$5:$K$65,MATCH($C$10,Proveedores!$A$5:$A$65,0),8)&amp;"","")&amp;" "&amp;IFERROR(INDEX(Proveedores!$A$5:$K$65,MATCH($C$10,Proveedores!$A$5:$A$65,0),9)&amp;"","")&amp;" · "&amp;IFERROR(INDEX(Proveedores!$A$5:$K$65,MATCH($C$10,Proveedores!$A$5:$A$65,0),10)&amp;"","")&amp;IF(IFERROR(INDEX(Proveedores!$A$5:$K$65,MATCH($C$10,Proveedores!$A$5:$A$65,0),11)&amp;"","")="",""," · CCI "&amp;IFERROR(INDEX(Proveedores!$A$5:$K$65,MATCH($C$10,Proveedores!$A$5:$A$65,0),11)&amp;"",""))))</f>
        <v>Cuenta del proveedor por registrar en Proveedores</v>
      </c>
      <c r="D41" s="57"/>
      <c r="E41" s="52" t="s">
        <v>358</v>
      </c>
      <c r="F41" s="58"/>
      <c r="G41" s="51" t="n">
        <f aca="false">IF(F41="",0,ROUND(G40*F41,0))</f>
        <v>0</v>
      </c>
    </row>
    <row r="42" customFormat="false" ht="15" hidden="false" customHeight="false" outlineLevel="0" collapsed="false">
      <c r="A42" s="37"/>
      <c r="B42" s="37"/>
      <c r="C42" s="57"/>
      <c r="D42" s="57"/>
      <c r="E42" s="52" t="s">
        <v>359</v>
      </c>
      <c r="F42" s="53"/>
      <c r="G42" s="51" t="n">
        <f aca="false">IF(AND(F13="Recibo por honorarios",G37&gt;1500),ROUND(G37*0.08,2),0)</f>
        <v>0</v>
      </c>
    </row>
    <row r="43" customFormat="false" ht="15" hidden="false" customHeight="false" outlineLevel="0" collapsed="false">
      <c r="A43" s="37"/>
      <c r="B43" s="37"/>
      <c r="C43" s="37"/>
      <c r="D43" s="37"/>
      <c r="E43" s="59" t="s">
        <v>360</v>
      </c>
      <c r="F43" s="53"/>
      <c r="G43" s="60" t="n">
        <f aca="false">G40-G41-G42</f>
        <v>0</v>
      </c>
    </row>
    <row r="44" customFormat="false" ht="15" hidden="false" customHeight="false" outlineLevel="0" collapsed="false">
      <c r="A44" s="37"/>
      <c r="B44" s="72" t="s">
        <v>361</v>
      </c>
      <c r="C44" s="37"/>
      <c r="D44" s="37"/>
      <c r="E44" s="61" t="str">
        <f aca="false">IF($F$14="USD","Montos en dólares americanos","Montos en soles")</f>
        <v>Montos en soles</v>
      </c>
      <c r="F44" s="37"/>
      <c r="G44" s="37"/>
    </row>
    <row r="45" customFormat="false" ht="15" hidden="false" customHeight="false" outlineLevel="0" collapsed="false">
      <c r="A45" s="37"/>
      <c r="B45" s="42"/>
      <c r="C45" s="42"/>
      <c r="D45" s="42"/>
      <c r="E45" s="42"/>
      <c r="F45" s="42"/>
      <c r="G45" s="42"/>
    </row>
    <row r="46" customFormat="false" ht="15" hidden="false" customHeight="false" outlineLevel="0" collapsed="false">
      <c r="A46" s="37"/>
      <c r="B46" s="42"/>
      <c r="C46" s="42"/>
      <c r="D46" s="42"/>
      <c r="E46" s="42"/>
      <c r="F46" s="42"/>
      <c r="G46" s="42"/>
    </row>
    <row r="48" customFormat="false" ht="15" hidden="false" customHeight="false" outlineLevel="0" collapsed="false">
      <c r="A48" s="79" t="s">
        <v>363</v>
      </c>
      <c r="B48" s="79"/>
      <c r="C48" s="79" t="s">
        <v>365</v>
      </c>
      <c r="D48" s="79" t="s">
        <v>366</v>
      </c>
      <c r="E48" s="79"/>
      <c r="F48" s="79" t="s">
        <v>382</v>
      </c>
      <c r="G48" s="79"/>
    </row>
    <row r="49" customFormat="false" ht="15" hidden="false" customHeight="false" outlineLevel="0" collapsed="false">
      <c r="A49" s="63"/>
      <c r="B49" s="63"/>
      <c r="C49" s="63"/>
      <c r="D49" s="63"/>
      <c r="E49" s="63"/>
      <c r="F49" s="63"/>
      <c r="G49" s="63"/>
    </row>
    <row r="50" customFormat="false" ht="15" hidden="false" customHeight="false" outlineLevel="0" collapsed="false">
      <c r="A50" s="63"/>
      <c r="B50" s="63"/>
      <c r="C50" s="63"/>
      <c r="D50" s="63"/>
      <c r="E50" s="63"/>
      <c r="F50" s="63"/>
      <c r="G50" s="63"/>
    </row>
    <row r="51" customFormat="false" ht="15" hidden="false" customHeight="false" outlineLevel="0" collapsed="false">
      <c r="A51" s="63"/>
      <c r="B51" s="63"/>
      <c r="C51" s="63"/>
      <c r="D51" s="63"/>
      <c r="E51" s="63"/>
      <c r="F51" s="63"/>
      <c r="G51" s="63"/>
    </row>
    <row r="52" customFormat="false" ht="15" hidden="false" customHeight="false" outlineLevel="0" collapsed="false">
      <c r="A52" s="64" t="s">
        <v>367</v>
      </c>
      <c r="B52" s="64"/>
      <c r="C52" s="64" t="s">
        <v>367</v>
      </c>
      <c r="D52" s="64" t="s">
        <v>367</v>
      </c>
      <c r="E52" s="64"/>
      <c r="F52" s="64" t="s">
        <v>367</v>
      </c>
      <c r="G52" s="64"/>
    </row>
    <row r="53" customFormat="false" ht="15" hidden="false" customHeight="false" outlineLevel="0" collapsed="false">
      <c r="A53" s="65" t="s">
        <v>368</v>
      </c>
      <c r="B53" s="65"/>
      <c r="C53" s="65" t="s">
        <v>368</v>
      </c>
      <c r="D53" s="65" t="s">
        <v>368</v>
      </c>
      <c r="E53" s="65"/>
      <c r="F53" s="65" t="s">
        <v>368</v>
      </c>
      <c r="G53" s="65"/>
    </row>
    <row r="55" customFormat="false" ht="15" hidden="false" customHeight="false" outlineLevel="0" collapsed="false">
      <c r="A55" s="66" t="s">
        <v>369</v>
      </c>
      <c r="B55" s="66"/>
      <c r="C55" s="66"/>
      <c r="D55" s="66"/>
      <c r="E55" s="67" t="str">
        <f aca="false">"Consultas: "&amp;INDEX(Empresas!$A$2:$G$4,MATCH($G$2,Empresas!$A$2:$A$4,0),6)&amp;" · "&amp;INDEX(Empresas!$A$2:$G$4,MATCH($G$2,Empresas!$A$2:$A$4,0),5)</f>
        <v>Consultas: info@montezumaarquitectos.com · Cel. 940 207 936</v>
      </c>
      <c r="F55" s="67"/>
      <c r="G55" s="67"/>
    </row>
  </sheetData>
  <mergeCells count="44">
    <mergeCell ref="E1:G1"/>
    <mergeCell ref="A5:D5"/>
    <mergeCell ref="F5:G5"/>
    <mergeCell ref="A6:D6"/>
    <mergeCell ref="A7:D7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7:D17"/>
    <mergeCell ref="F17:G17"/>
    <mergeCell ref="C18:D18"/>
    <mergeCell ref="F18:G18"/>
    <mergeCell ref="C19:D19"/>
    <mergeCell ref="F19:G19"/>
    <mergeCell ref="C20:D20"/>
    <mergeCell ref="F20:G20"/>
    <mergeCell ref="C37:D37"/>
    <mergeCell ref="C38:D38"/>
    <mergeCell ref="C39:D39"/>
    <mergeCell ref="C40:D40"/>
    <mergeCell ref="C41:D42"/>
    <mergeCell ref="B45:G46"/>
    <mergeCell ref="A48:B48"/>
    <mergeCell ref="D48:E48"/>
    <mergeCell ref="F48:G48"/>
    <mergeCell ref="A49:B51"/>
    <mergeCell ref="C49:C51"/>
    <mergeCell ref="D49:E51"/>
    <mergeCell ref="F49:G51"/>
    <mergeCell ref="A52:B52"/>
    <mergeCell ref="D52:E52"/>
    <mergeCell ref="F52:G52"/>
    <mergeCell ref="A53:B53"/>
    <mergeCell ref="D53:E53"/>
    <mergeCell ref="F53:G53"/>
    <mergeCell ref="A55:D55"/>
    <mergeCell ref="E55:G55"/>
  </mergeCells>
  <dataValidations count="4">
    <dataValidation allowBlank="false" errorStyle="stop" operator="between" showDropDown="false" showErrorMessage="false" showInputMessage="false" sqref="G2" type="list">
      <formula1>Empresas!$A$2:$A$4</formula1>
      <formula2>0</formula2>
    </dataValidation>
    <dataValidation allowBlank="true" errorStyle="stop" operator="between" showDropDown="false" showErrorMessage="false" showInputMessage="false" sqref="C10" type="list">
      <formula1>Proveedores!$A$5:$A$65</formula1>
      <formula2>0</formula2>
    </dataValidation>
    <dataValidation allowBlank="false" errorStyle="stop" operator="between" showDropDown="false" showErrorMessage="false" showInputMessage="false" sqref="F13" type="list">
      <formula1>"Factura electrónica,Recibo por honorarios,Boleta de venta,Sin comprobante (tasas o tributos),Factura del exterior"</formula1>
      <formula2>0</formula2>
    </dataValidation>
    <dataValidation allowBlank="false" errorStyle="stop" operator="between" showDropDown="false" showErrorMessage="false" showInputMessage="false" sqref="F14" type="list">
      <formula1>"PEN,USD"</formula1>
      <formula2>0</formula2>
    </dataValidation>
  </dataValidations>
  <printOptions headings="false" gridLines="false" gridLinesSet="true" horizontalCentered="false" verticalCentered="false"/>
  <pageMargins left="0.4" right="0.4" top="0.4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2026-10-28T16:04:43Z</dcterms:created>
  <dc:creator>openpyxl</dc:creator>
  <dc:description/>
  <dc:language>en-US</dc:language>
  <cp:lastModifiedBy/>
  <dcterms:modified xsi:type="dcterms:W3CDTF">2026-10-28T16:04:43Z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